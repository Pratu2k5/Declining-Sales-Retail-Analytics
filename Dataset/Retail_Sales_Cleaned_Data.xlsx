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F:\Data Analytics\Yuva_Intern\Declining_Sales_Retail_Analytics\"/>
    </mc:Choice>
  </mc:AlternateContent>
  <xr:revisionPtr revIDLastSave="0" documentId="8_{5C72247A-872A-4947-B97A-53B4CB15D3D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aw_Data" sheetId="2" r:id="rId1"/>
    <sheet name="Cleaned_Data" sheetId="1" r:id="rId2"/>
    <sheet name="Data_Dictionary" sheetId="3" r:id="rId3"/>
    <sheet name="Cleaning_Log" sheetId="4" r:id="rId4"/>
    <sheet name="Summary_Statistics" sheetId="5" r:id="rId5"/>
    <sheet name="PivotTables_Charts" sheetId="7" r:id="rId6"/>
  </sheets>
  <definedNames>
    <definedName name="_xlnm._FilterDatabase" localSheetId="1" hidden="1">Cleaned_Data!$A$1:$L$543</definedName>
    <definedName name="_xlnm._FilterDatabase" localSheetId="0" hidden="1">Raw_Data!$A$1:$L$543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5" l="1"/>
  <c r="B4" i="5"/>
  <c r="B10" i="5"/>
  <c r="B5" i="5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46" i="1"/>
  <c r="H47" i="1"/>
  <c r="H4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2" i="1"/>
  <c r="G529" i="1"/>
  <c r="I529" i="1" s="1"/>
  <c r="G532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30" i="1"/>
  <c r="G531" i="1"/>
  <c r="G533" i="1"/>
  <c r="G534" i="1"/>
  <c r="G535" i="1"/>
  <c r="G536" i="1"/>
  <c r="G537" i="1"/>
  <c r="G538" i="1"/>
  <c r="G539" i="1"/>
  <c r="G540" i="1"/>
  <c r="G541" i="1"/>
  <c r="G542" i="1"/>
  <c r="G54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  <c r="I532" i="1" l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523" i="1"/>
  <c r="I526" i="1"/>
  <c r="I527" i="1"/>
  <c r="I530" i="1"/>
  <c r="I533" i="1"/>
  <c r="I535" i="1"/>
  <c r="I537" i="1"/>
  <c r="I539" i="1"/>
  <c r="I541" i="1"/>
  <c r="I543" i="1"/>
  <c r="I4" i="1"/>
  <c r="I5" i="1"/>
  <c r="I7" i="1"/>
  <c r="I9" i="1"/>
  <c r="I11" i="1"/>
  <c r="I13" i="1"/>
  <c r="I15" i="1"/>
  <c r="I17" i="1"/>
  <c r="I19" i="1"/>
  <c r="I21" i="1"/>
  <c r="I23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4" i="1"/>
  <c r="I525" i="1"/>
  <c r="I528" i="1"/>
  <c r="I531" i="1"/>
  <c r="I534" i="1"/>
  <c r="I536" i="1"/>
  <c r="I538" i="1"/>
  <c r="I540" i="1"/>
  <c r="I542" i="1"/>
  <c r="I3" i="1"/>
  <c r="I6" i="1"/>
  <c r="I8" i="1"/>
  <c r="I10" i="1"/>
  <c r="I12" i="1"/>
  <c r="I14" i="1"/>
  <c r="I16" i="1"/>
  <c r="I18" i="1"/>
  <c r="I20" i="1"/>
  <c r="I22" i="1"/>
  <c r="I2" i="1"/>
  <c r="I24" i="1"/>
  <c r="B2" i="5"/>
  <c r="B6" i="5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B7" i="5"/>
  <c r="B8" i="5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B3" i="5" l="1"/>
</calcChain>
</file>

<file path=xl/sharedStrings.xml><?xml version="1.0" encoding="utf-8"?>
<sst xmlns="http://schemas.openxmlformats.org/spreadsheetml/2006/main" count="5614" uniqueCount="688">
  <si>
    <t>Order ID</t>
  </si>
  <si>
    <t>Order Date</t>
  </si>
  <si>
    <t>Product Name</t>
  </si>
  <si>
    <t>Quantity Sold</t>
  </si>
  <si>
    <t>Unit Price</t>
  </si>
  <si>
    <t>Discount</t>
  </si>
  <si>
    <t>Sales Revenue</t>
  </si>
  <si>
    <t>Cost</t>
  </si>
  <si>
    <t>Profit</t>
  </si>
  <si>
    <t>Region</t>
  </si>
  <si>
    <t>City</t>
  </si>
  <si>
    <t>Sales Channel</t>
  </si>
  <si>
    <t>ORD0001</t>
  </si>
  <si>
    <t>Laptop</t>
  </si>
  <si>
    <t>South</t>
  </si>
  <si>
    <t>Bengaluru</t>
  </si>
  <si>
    <t>Mobile App</t>
  </si>
  <si>
    <t>ORD0002</t>
  </si>
  <si>
    <t>Speaker</t>
  </si>
  <si>
    <t>North</t>
  </si>
  <si>
    <t>Chandigarh</t>
  </si>
  <si>
    <t>Online</t>
  </si>
  <si>
    <t>ORD0003</t>
  </si>
  <si>
    <t>East</t>
  </si>
  <si>
    <t>Patna</t>
  </si>
  <si>
    <t>Offline</t>
  </si>
  <si>
    <t>ORD0004</t>
  </si>
  <si>
    <t>West</t>
  </si>
  <si>
    <t>Pune</t>
  </si>
  <si>
    <t>ORD0005</t>
  </si>
  <si>
    <t>Mouse</t>
  </si>
  <si>
    <t>Ahmedabad</t>
  </si>
  <si>
    <t>ORD0006</t>
  </si>
  <si>
    <t>north</t>
  </si>
  <si>
    <t>Jaipur</t>
  </si>
  <si>
    <t>ORD0007</t>
  </si>
  <si>
    <t>Hyderabad</t>
  </si>
  <si>
    <t>ORD0008</t>
  </si>
  <si>
    <t>ORD0009</t>
  </si>
  <si>
    <t>Monitor</t>
  </si>
  <si>
    <t>Chennai</t>
  </si>
  <si>
    <t>ORD0010</t>
  </si>
  <si>
    <t>ORD0011</t>
  </si>
  <si>
    <t>Webcam</t>
  </si>
  <si>
    <t>ORD0012</t>
  </si>
  <si>
    <t>ORD0013</t>
  </si>
  <si>
    <t>ORD0014</t>
  </si>
  <si>
    <t>Kochi</t>
  </si>
  <si>
    <t>ORD0015</t>
  </si>
  <si>
    <t>Mumbai</t>
  </si>
  <si>
    <t>ORD0016</t>
  </si>
  <si>
    <t>Router</t>
  </si>
  <si>
    <t>Surat</t>
  </si>
  <si>
    <t>ORD0017</t>
  </si>
  <si>
    <t>ORD0018</t>
  </si>
  <si>
    <t>ORD0019</t>
  </si>
  <si>
    <t>Printer</t>
  </si>
  <si>
    <t>ORD0020</t>
  </si>
  <si>
    <t>ORD0021</t>
  </si>
  <si>
    <t>ORD0022</t>
  </si>
  <si>
    <t>Headphones</t>
  </si>
  <si>
    <t>Kolkata</t>
  </si>
  <si>
    <t>ORD0023</t>
  </si>
  <si>
    <t>ORD0024</t>
  </si>
  <si>
    <t>ORD0025</t>
  </si>
  <si>
    <t>ORD0026</t>
  </si>
  <si>
    <t>Bhubaneswar</t>
  </si>
  <si>
    <t>ORD0027</t>
  </si>
  <si>
    <t>ORD0028</t>
  </si>
  <si>
    <t>ORD0029</t>
  </si>
  <si>
    <t>Delhi</t>
  </si>
  <si>
    <t>ORD0030</t>
  </si>
  <si>
    <t>Ranchi</t>
  </si>
  <si>
    <t>ORD0031</t>
  </si>
  <si>
    <t>ORD0032</t>
  </si>
  <si>
    <t>ORD0033</t>
  </si>
  <si>
    <t>USB Drive</t>
  </si>
  <si>
    <t>ORD0034</t>
  </si>
  <si>
    <t>ORD0035</t>
  </si>
  <si>
    <t>Lucknow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</si>
  <si>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</si>
  <si>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</si>
  <si>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</si>
  <si>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</si>
  <si>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</si>
  <si>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</si>
  <si>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</si>
  <si>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</si>
  <si>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Keyboard</t>
  </si>
  <si>
    <t>ORD0044</t>
  </si>
  <si>
    <t>ORD0045</t>
  </si>
  <si>
    <t>ORD0046</t>
  </si>
  <si>
    <t>ORD0047</t>
  </si>
  <si>
    <t>ORD0048</t>
  </si>
  <si>
    <t>ORD0049</t>
  </si>
  <si>
    <t>east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</si>
  <si>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</si>
  <si>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</si>
  <si>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</si>
  <si>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</si>
  <si>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</si>
  <si>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</si>
  <si>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</si>
  <si>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</si>
  <si>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</si>
  <si>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</si>
  <si>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</si>
  <si>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</si>
  <si>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</si>
  <si>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</si>
  <si>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</si>
  <si>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</si>
  <si>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</si>
  <si>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offline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</si>
  <si>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</si>
  <si>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</si>
  <si>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</si>
  <si>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</si>
  <si>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</si>
  <si>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</si>
  <si>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</si>
  <si>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</si>
  <si>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</si>
  <si>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</si>
  <si>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</si>
  <si>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</si>
  <si>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</si>
  <si>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</si>
  <si>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</si>
  <si>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</si>
  <si>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</si>
  <si>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</si>
  <si>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</si>
  <si>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</si>
  <si>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</si>
  <si>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</si>
  <si>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</si>
  <si>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</si>
  <si>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</si>
  <si>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</si>
  <si>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</si>
  <si>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</si>
  <si>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</si>
  <si>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</si>
  <si>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</si>
  <si>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</si>
  <si>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</si>
  <si>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</si>
  <si>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</si>
  <si>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</si>
  <si>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</si>
  <si>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</si>
  <si>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</si>
  <si>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</si>
  <si>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</si>
  <si>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</si>
  <si>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</si>
  <si>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</si>
  <si>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</si>
  <si>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</si>
  <si>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</si>
  <si>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</si>
  <si>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</si>
  <si>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</si>
  <si>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</si>
  <si>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</si>
  <si>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</si>
  <si>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</si>
  <si>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</si>
  <si>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</si>
  <si>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</si>
  <si>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</si>
  <si>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</si>
  <si>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</si>
  <si>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</si>
  <si>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</si>
  <si>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</si>
  <si>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</si>
  <si>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</si>
  <si>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</si>
  <si>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</si>
  <si>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</si>
  <si>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</si>
  <si>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</si>
  <si>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</si>
  <si>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</si>
  <si>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</si>
  <si>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</si>
  <si>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</si>
  <si>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</si>
  <si>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</si>
  <si>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</si>
  <si>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</si>
  <si>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</si>
  <si>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</si>
  <si>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</si>
  <si>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</si>
  <si>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</si>
  <si>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</si>
  <si>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</si>
  <si>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</si>
  <si>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</si>
  <si>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</si>
  <si>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</si>
  <si>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</si>
  <si>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</si>
  <si>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</si>
  <si>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</si>
  <si>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</si>
  <si>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</si>
  <si>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</si>
  <si>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</si>
  <si>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</si>
  <si>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</si>
  <si>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</si>
  <si>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</si>
  <si>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</si>
  <si>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</si>
  <si>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</si>
  <si>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</si>
  <si>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</si>
  <si>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</si>
  <si>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</si>
  <si>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</si>
  <si>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</si>
  <si>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</si>
  <si>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</si>
  <si>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</si>
  <si>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</si>
  <si>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</si>
  <si>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</si>
  <si>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</si>
  <si>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</si>
  <si>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</si>
  <si>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</si>
  <si>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</si>
  <si>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</si>
  <si>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</si>
  <si>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</si>
  <si>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</si>
  <si>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</si>
  <si>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</si>
  <si>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</si>
  <si>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</si>
  <si>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</si>
  <si>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</si>
  <si>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</si>
  <si>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</si>
  <si>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</si>
  <si>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</si>
  <si>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</si>
  <si>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</si>
  <si>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</si>
  <si>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</si>
  <si>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</si>
  <si>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</si>
  <si>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</si>
  <si>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</si>
  <si>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</si>
  <si>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</si>
  <si>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</si>
  <si>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</si>
  <si>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</si>
  <si>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</si>
  <si>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</si>
  <si>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</si>
  <si>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</si>
  <si>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</si>
  <si>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</si>
  <si>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</si>
  <si>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</si>
  <si>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</si>
  <si>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</si>
  <si>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</si>
  <si>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</si>
  <si>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</si>
  <si>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</si>
  <si>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</si>
  <si>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</si>
  <si>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</si>
  <si>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</si>
  <si>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</si>
  <si>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</si>
  <si>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</si>
  <si>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</si>
  <si>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</si>
  <si>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</si>
  <si>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</si>
  <si>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</si>
  <si>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</si>
  <si>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</si>
  <si>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</si>
  <si>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</si>
  <si>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</si>
  <si>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</si>
  <si>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</si>
  <si>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</si>
  <si>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</si>
  <si>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</si>
  <si>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south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</si>
  <si>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</si>
  <si>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</si>
  <si>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</si>
  <si>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</si>
  <si>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</si>
  <si>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</si>
  <si>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</si>
  <si>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</si>
  <si>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</si>
  <si>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</si>
  <si>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mobile app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</si>
  <si>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</si>
  <si>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</si>
  <si>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</si>
  <si>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</si>
  <si>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</si>
  <si>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</si>
  <si>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</si>
  <si>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</si>
  <si>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</si>
  <si>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</si>
  <si>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</si>
  <si>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</si>
  <si>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</si>
  <si>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</si>
  <si>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</si>
  <si>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</si>
  <si>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</si>
  <si>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</si>
  <si>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</si>
  <si>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</si>
  <si>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</si>
  <si>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</si>
  <si>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</si>
  <si>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</si>
  <si>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</si>
  <si>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</si>
  <si>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</si>
  <si>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</si>
  <si>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</si>
  <si>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</si>
  <si>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</si>
  <si>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</si>
  <si>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</si>
  <si>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</si>
  <si>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</si>
  <si>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</si>
  <si>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</si>
  <si>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</si>
  <si>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</si>
  <si>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</si>
  <si>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</si>
  <si>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</si>
  <si>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</si>
  <si>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</si>
  <si>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</si>
  <si>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</si>
  <si>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</si>
  <si>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</si>
  <si>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</si>
  <si>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</si>
  <si>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</si>
  <si>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</si>
  <si>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</si>
  <si>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</si>
  <si>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</si>
  <si>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</si>
  <si>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</si>
  <si>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</si>
  <si>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</si>
  <si>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</si>
  <si>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</si>
  <si>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</si>
  <si>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</si>
  <si>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</si>
  <si>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</si>
  <si>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</si>
  <si>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</si>
  <si>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</si>
  <si>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</si>
  <si>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</si>
  <si>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</si>
  <si>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</si>
  <si>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</si>
  <si>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</si>
  <si>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</si>
  <si>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</si>
  <si>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</si>
  <si>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</si>
  <si>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</si>
  <si>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</si>
  <si>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</si>
  <si>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</si>
  <si>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</si>
  <si>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</si>
  <si>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</si>
  <si>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</si>
  <si>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</si>
  <si>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</si>
  <si>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</si>
  <si>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</si>
  <si>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</si>
  <si>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</si>
  <si>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</si>
  <si>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</si>
  <si>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</si>
  <si>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</si>
  <si>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</si>
  <si>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</si>
  <si>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</si>
  <si>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</si>
  <si>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</si>
  <si>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</si>
  <si>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</si>
  <si>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</si>
  <si>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</si>
  <si>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</si>
  <si>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</si>
  <si>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</si>
  <si>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</si>
  <si>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</si>
  <si>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</si>
  <si>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</si>
  <si>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</si>
  <si>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</si>
  <si>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</si>
  <si>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</si>
  <si>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</si>
  <si>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</si>
  <si>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</si>
  <si>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</si>
  <si>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</si>
  <si>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</si>
  <si>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</si>
  <si>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</si>
  <si>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</si>
  <si>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</si>
  <si>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</si>
  <si>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</si>
  <si>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</si>
  <si>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</si>
  <si>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</si>
  <si>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</si>
  <si>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</si>
  <si>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</si>
  <si>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</si>
  <si>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</si>
  <si>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</si>
  <si>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</si>
  <si>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</si>
  <si>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</si>
  <si>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</si>
  <si>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</si>
  <si>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</si>
  <si>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</si>
  <si>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</si>
  <si>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</si>
  <si>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</si>
  <si>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</si>
  <si>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</si>
  <si>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</si>
  <si>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</si>
  <si>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</si>
  <si>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</si>
  <si>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</si>
  <si>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</si>
  <si>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</si>
  <si>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</si>
  <si>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</si>
  <si>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</si>
  <si>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</si>
  <si>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</si>
  <si>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</si>
  <si>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</si>
  <si>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</si>
  <si>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</si>
  <si>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</si>
  <si>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</si>
  <si>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</si>
  <si>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</si>
  <si>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</si>
  <si>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</si>
  <si>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</si>
  <si>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</si>
  <si>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</si>
  <si>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</si>
  <si>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</si>
  <si>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</si>
  <si>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</si>
  <si>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</si>
  <si>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</si>
  <si>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</si>
  <si>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</si>
  <si>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</si>
  <si>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</si>
  <si>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</si>
  <si>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</si>
  <si>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</si>
  <si>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</si>
  <si>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</si>
  <si>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</si>
  <si>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</si>
  <si>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</si>
  <si>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</si>
  <si>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</si>
  <si>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</si>
  <si>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</si>
  <si>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</si>
  <si>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</si>
  <si>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</si>
  <si>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</si>
  <si>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</si>
  <si>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</si>
  <si>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</si>
  <si>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</si>
  <si>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</si>
  <si>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</si>
  <si>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</si>
  <si>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</si>
  <si>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</si>
  <si>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</si>
  <si>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</si>
  <si>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</si>
  <si>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</si>
  <si>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</si>
  <si>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</si>
  <si>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</si>
  <si>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</si>
  <si>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</si>
  <si>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</si>
  <si>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</si>
  <si>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</si>
  <si>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</si>
  <si>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</si>
  <si>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</si>
  <si>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</si>
  <si>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</si>
  <si>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</si>
  <si>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</si>
  <si>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</si>
  <si>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</si>
  <si>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</si>
  <si>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</si>
  <si>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</si>
  <si>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</si>
  <si>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</si>
  <si>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</si>
  <si>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</si>
  <si>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</si>
  <si>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</si>
  <si>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</si>
  <si>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</si>
  <si>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</si>
  <si>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</si>
  <si>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</si>
  <si>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</si>
  <si>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</si>
  <si>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</si>
  <si>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</si>
  <si>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</si>
  <si>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</si>
  <si>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</si>
  <si>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</si>
  <si>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</si>
  <si>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</si>
  <si>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</si>
  <si>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</si>
  <si>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</si>
  <si>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</si>
  <si>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</si>
  <si>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</si>
  <si>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</si>
  <si>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</si>
  <si>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</si>
  <si>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</si>
  <si>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</si>
  <si>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</si>
  <si>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</si>
  <si>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</si>
  <si>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</si>
  <si>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</si>
  <si>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</si>
  <si>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</si>
  <si>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</si>
  <si>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</si>
  <si>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</si>
  <si>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</si>
  <si>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</si>
  <si>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</si>
  <si>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</si>
  <si>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</si>
  <si>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</si>
  <si>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Data field</t>
  </si>
  <si>
    <t>Description / purpose</t>
  </si>
  <si>
    <t>Example / rule</t>
  </si>
  <si>
    <t>Unique identifier for each order</t>
  </si>
  <si>
    <t>Date the order was placed; supports monthly/yearly trends</t>
  </si>
  <si>
    <t>Stored as a real Excel date in Cleaned_Data</t>
  </si>
  <si>
    <t>Product purchased; supports product performance analysis</t>
  </si>
  <si>
    <t>Laptop, Mouse, Monitor</t>
  </si>
  <si>
    <t>Number of units sold</t>
  </si>
  <si>
    <t>Positive whole number</t>
  </si>
  <si>
    <t>Price per unit before discount</t>
  </si>
  <si>
    <t>Synthetic currency value; INR-style values</t>
  </si>
  <si>
    <t>Discount rate applied to the order</t>
  </si>
  <si>
    <t>0%, 5%, 10%, 15%, or 20%</t>
  </si>
  <si>
    <t>Revenue after discount</t>
  </si>
  <si>
    <t>Quantity Sold × Unit Price × (1 − Discount)</t>
  </si>
  <si>
    <t>Estimated total cost for the order</t>
  </si>
  <si>
    <t>Synthetic rule: Quantity Sold × Unit Price × 65%</t>
  </si>
  <si>
    <t>Sales Revenue minus Cost</t>
  </si>
  <si>
    <t>Sales Revenue − Cost</t>
  </si>
  <si>
    <t>Geographical region for sales comparison</t>
  </si>
  <si>
    <t>North, South, East, West</t>
  </si>
  <si>
    <t>City where the sale occurred</t>
  </si>
  <si>
    <t>City matched to the region</t>
  </si>
  <si>
    <t>Channel through which the order was placed</t>
  </si>
  <si>
    <t>Online, Offline, Mobile App</t>
  </si>
  <si>
    <t>Cleaning activity</t>
  </si>
  <si>
    <t>Raw_Data</t>
  </si>
  <si>
    <t>Cleaned_Data / action</t>
  </si>
  <si>
    <t>Record count</t>
  </si>
  <si>
    <t>550 data rows</t>
  </si>
  <si>
    <t>542 data rows; 500+ records retained</t>
  </si>
  <si>
    <t>Duplicate records</t>
  </si>
  <si>
    <t>8 intentional duplicate Order IDs/rows were added for practice</t>
  </si>
  <si>
    <t>Kept one record per Order ID; 8 duplicates removed</t>
  </si>
  <si>
    <t>Missing Sales Revenue</t>
  </si>
  <si>
    <t>5 missing values</t>
  </si>
  <si>
    <t>Recalculated using Quantity Sold × Unit Price × (1 − Discount)</t>
  </si>
  <si>
    <t>Missing Cost</t>
  </si>
  <si>
    <t>3 missing values</t>
  </si>
  <si>
    <t>Recalculated using the documented synthetic cost rule</t>
  </si>
  <si>
    <t>Missing Profit</t>
  </si>
  <si>
    <t>Recalculated as Sales Revenue − Cost</t>
  </si>
  <si>
    <t>Inconsistent Region entries</t>
  </si>
  <si>
    <t>Some lowercase entries</t>
  </si>
  <si>
    <t>Standardized region names to title case</t>
  </si>
  <si>
    <t>Inconsistent Product Name entries</t>
  </si>
  <si>
    <t>Some uppercase names and extra spaces</t>
  </si>
  <si>
    <t>Trimmed spaces and standardized product names</t>
  </si>
  <si>
    <t>Inconsistent date formats</t>
  </si>
  <si>
    <t>Some dates stored as text in dd/mm/yyyy format</t>
  </si>
  <si>
    <t>Converted all dates to real Excel dates</t>
  </si>
  <si>
    <t>Inconsistent Sales Channel entries</t>
  </si>
  <si>
    <t>Standardized channel names</t>
  </si>
  <si>
    <t>Important note</t>
  </si>
  <si>
    <t>All data is synthetic and created for learning</t>
  </si>
  <si>
    <t>Do not present it as real company data; use actual analysis results in your report</t>
  </si>
  <si>
    <t>Total Sales Revenue</t>
  </si>
  <si>
    <t>Total Profit</t>
  </si>
  <si>
    <t>Total Quantity Sold</t>
  </si>
  <si>
    <t>Average Sales Revenue</t>
  </si>
  <si>
    <t>Number of Orders</t>
  </si>
  <si>
    <t>Highest Sales Revenue</t>
  </si>
  <si>
    <t>Lowest Sales Revenue</t>
  </si>
  <si>
    <t>Metric</t>
  </si>
  <si>
    <t>Result</t>
  </si>
  <si>
    <t>Grand Total</t>
  </si>
  <si>
    <t>2025</t>
  </si>
  <si>
    <t>2026</t>
  </si>
  <si>
    <t>Usb Drive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</si>
  <si>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</si>
  <si>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</si>
  <si>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</si>
  <si>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</si>
  <si>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</si>
  <si>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</si>
  <si>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</si>
  <si>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</si>
  <si>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</si>
  <si>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</si>
  <si>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</si>
  <si>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</si>
  <si>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Pivot Tables &amp; Charts</t>
  </si>
  <si>
    <t>Channel</t>
  </si>
  <si>
    <t>Total_Order_ID</t>
  </si>
  <si>
    <t>Date</t>
  </si>
  <si>
    <t>Total_Sales Revenue</t>
  </si>
  <si>
    <t>Total Order ID</t>
  </si>
  <si>
    <t>Average revenue per order</t>
  </si>
  <si>
    <t>Total cost</t>
  </si>
  <si>
    <t xml:space="preserve"> WEBCAM </t>
  </si>
  <si>
    <t>05/06/2026</t>
  </si>
  <si>
    <t xml:space="preserve"> PRINTER </t>
  </si>
  <si>
    <t>28/06/2025</t>
  </si>
  <si>
    <t>15/04/2025</t>
  </si>
  <si>
    <t xml:space="preserve"> ROUTER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</si>
</sst>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dd\-mmm\-yyyy"/>
    <numFmt numFmtId="165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Algerian"/>
      <family val="5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6">
    <xf numFmtId="0" fontId="0" fillId="0" borderId="0" xfId="0"/>
    <xf numFmtId="4" fontId="0" fillId="0" borderId="0" xfId="0" applyNumberFormat="1"/>
    <xf numFmtId="9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" fontId="0" fillId="0" borderId="9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9" fontId="1" fillId="2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0" xfId="0" applyAlignment="1">
      <alignment horizontal="centerContinuous"/>
    </xf>
    <xf numFmtId="0" fontId="4" fillId="3" borderId="0" xfId="0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3" fillId="3" borderId="0" xfId="0" applyFont="1" applyFill="1" applyAlignment="1">
      <alignment horizontal="centerContinuous"/>
    </xf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pivotButton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4" borderId="0" xfId="0" applyFont="1" applyFill="1"/>
  </cellXfs>
  <cellStyles count="2">
    <cellStyle name="Currency" xfId="1" builtinId="4"/>
    <cellStyle name="Normal" xfId="0" builtinId="0"/>
  </cellStyles>
  <dxfs count="7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 &quot;₹&quot;\ * #,##0.00_ ;_ &quot;₹&quot;\ * \-#,##0.00_ ;_ &quot;₹&quot;\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[Retail_Sales_Cleaned_Data.xlsx]PivotTables_Charts!PivotTable4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PivotTables_Charts!$I$4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PivotTables_Charts!$H$5:$H$25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PivotTables_Charts!$I$5:$I$25</c:f>
              <c:numCache>
                <c:formatCode>_("₹"* #,##0.00_);_("₹"* \(#,##0.00\);_("₹"* "-"??_);_(@_)</c:formatCode>
                <c:ptCount val="18"/>
                <c:pt idx="0">
                  <c:v>666353</c:v>
                </c:pt>
                <c:pt idx="1">
                  <c:v>722450.5</c:v>
                </c:pt>
                <c:pt idx="2">
                  <c:v>671623.5</c:v>
                </c:pt>
                <c:pt idx="3">
                  <c:v>654890.5</c:v>
                </c:pt>
                <c:pt idx="4">
                  <c:v>1599385.5</c:v>
                </c:pt>
                <c:pt idx="5">
                  <c:v>906812.5</c:v>
                </c:pt>
                <c:pt idx="6">
                  <c:v>217651</c:v>
                </c:pt>
                <c:pt idx="7">
                  <c:v>1774306.625</c:v>
                </c:pt>
                <c:pt idx="8">
                  <c:v>1864991</c:v>
                </c:pt>
                <c:pt idx="9">
                  <c:v>1117300.5</c:v>
                </c:pt>
                <c:pt idx="10">
                  <c:v>771872.5</c:v>
                </c:pt>
                <c:pt idx="11">
                  <c:v>640682.75</c:v>
                </c:pt>
                <c:pt idx="12">
                  <c:v>171466.375</c:v>
                </c:pt>
                <c:pt idx="13">
                  <c:v>815556.75</c:v>
                </c:pt>
                <c:pt idx="14">
                  <c:v>1251896.5</c:v>
                </c:pt>
                <c:pt idx="15">
                  <c:v>2306290</c:v>
                </c:pt>
                <c:pt idx="16">
                  <c:v>481188.875</c:v>
                </c:pt>
                <c:pt idx="17">
                  <c:v>1299861.5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F0-4B10-822B-45EDE3CAC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490831"/>
        <c:axId val="924431631"/>
      </c:lineChart>
      <c:catAx>
        <c:axId val="104649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31631"/>
        <c:crosses val="autoZero"/>
        <c:auto val="1"/>
        <c:lblAlgn val="ctr"/>
        <c:lblOffset val="100"/>
        <c:noMultiLvlLbl val="0"/>
      </c:catAx>
      <c:valAx>
        <c:axId val="92443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49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[Retail_Sales_Cleaned_Data.xlsx]PivotTables_Charts!PivotTable6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Order Count by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PivotTables_Charts!$D$4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PivotTables_Charts!$C$5:$C$8</c:f>
              <c:strCache>
                <c:ptCount val="3"/>
                <c:pt idx="0">
                  <c:v>Mobile App</c:v>
                </c:pt>
                <c:pt idx="1">
                  <c:v>Offline</c:v>
                </c:pt>
                <c:pt idx="2">
                  <c:v>Online</c:v>
                </c:pt>
              </c:strCache>
            </c:strRef>
          </c:cat>
          <c:val>
            <c:numRef>
              <c:f>PivotTables_Charts!$D$5:$D$8</c:f>
              <c:numCache>
                <c:formatCode>General</c:formatCode>
                <c:ptCount val="3"/>
                <c:pt idx="0">
                  <c:v>187</c:v>
                </c:pt>
                <c:pt idx="1">
                  <c:v>169</c:v>
                </c:pt>
                <c:pt idx="2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32-4C95-A8B0-DB47AFA61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6492687"/>
        <c:axId val="924425871"/>
      </c:barChart>
      <c:catAx>
        <c:axId val="104649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25871"/>
        <c:crosses val="autoZero"/>
        <c:auto val="1"/>
        <c:lblAlgn val="ctr"/>
        <c:lblOffset val="100"/>
        <c:noMultiLvlLbl val="0"/>
      </c:catAx>
      <c:valAx>
        <c:axId val="92442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49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[Retail_Sales_Cleaned_Data.xlsx]PivotTables_Charts!PivotTable5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PivotTables_Charts!$N$4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PivotTables_Charts!$M$5:$M$9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PivotTables_Charts!$N$5:$N$9</c:f>
              <c:numCache>
                <c:formatCode>_("₹"* #,##0.00_);_("₹"* \(#,##0.00\);_("₹"* "-"??_);_(@_)</c:formatCode>
                <c:ptCount val="4"/>
                <c:pt idx="0">
                  <c:v>4659659.5</c:v>
                </c:pt>
                <c:pt idx="1">
                  <c:v>4933894.5</c:v>
                </c:pt>
                <c:pt idx="2">
                  <c:v>3935696.75</c:v>
                </c:pt>
                <c:pt idx="3">
                  <c:v>4405329.125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B-459A-AE59-D89D1290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77635808"/>
        <c:axId val="924432111"/>
      </c:barChart>
      <c:catAx>
        <c:axId val="147763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32111"/>
        <c:crosses val="autoZero"/>
        <c:auto val="1"/>
        <c:lblAlgn val="ctr"/>
        <c:lblOffset val="100"/>
        <c:noMultiLvlLbl val="0"/>
      </c:catAx>
      <c:valAx>
        <c:axId val="92443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6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[Retail_Sales_Cleaned_Data.xlsx]PivotTables_Charts!PivotTable7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 Count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1734508513418153"/>
          <c:y val="0.14796004666083407"/>
          <c:w val="0.54244407314582754"/>
          <c:h val="0.79245953630796151"/>
        </c:manualLayout>
      </c:layout>
      <c:doughnutChart>
        <c:varyColors val="1"/>
        <c:ser>
          <c:idx val="0"/>
          <c:order val="0"/>
          <c:tx>
            <c:strRef>
              <c:f>PivotTables_Charts!$S$4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explosion val="1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3D6-4D48-BED7-9C98BB8F35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3D6-4D48-BED7-9C98BB8F35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3D6-4D48-BED7-9C98BB8F35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3D6-4D48-BED7-9C98BB8F35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PivotTables_Charts!$R$5:$R$9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PivotTables_Charts!$S$5:$S$9</c:f>
              <c:numCache>
                <c:formatCode>General</c:formatCode>
                <c:ptCount val="4"/>
                <c:pt idx="0">
                  <c:v>133</c:v>
                </c:pt>
                <c:pt idx="1">
                  <c:v>134</c:v>
                </c:pt>
                <c:pt idx="2">
                  <c:v>132</c:v>
                </c:pt>
                <c:pt idx="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D-4298-BCE3-58E32146D1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50"/>
        <c:holeSize val="4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13148407378203"/>
          <c:y val="0.38953484981044034"/>
          <c:w val="0.17324052389913008"/>
          <c:h val="0.312502187226596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20593</xdr:colOff>
      <xdr:row>25</xdr:row>
      <xdr:rowOff>105856</xdr:rowOff>
    </xdr:from>
    <xdr:to>
      <xdr:col>10</xdr:col>
      <xdr:colOff>401594</xdr:colOff>
      <xdr:row>38</xdr:row>
      <xdr:rowOff>72081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046CA-2528-1BC5-51E3-1B8503388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220980</xdr:colOff>
      <xdr:row>9</xdr:row>
      <xdr:rowOff>95251</xdr:rowOff>
    </xdr:from>
    <xdr:to>
      <xdr:col>4</xdr:col>
      <xdr:colOff>1019433</xdr:colOff>
      <xdr:row>24</xdr:row>
      <xdr:rowOff>133865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4785A8-1B3F-4FE3-0546-12066BF45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498593</xdr:colOff>
      <xdr:row>10</xdr:row>
      <xdr:rowOff>138289</xdr:rowOff>
    </xdr:from>
    <xdr:to>
      <xdr:col>15</xdr:col>
      <xdr:colOff>131704</xdr:colOff>
      <xdr:row>27</xdr:row>
      <xdr:rowOff>84667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79FD69-45E5-66F2-78FD-C05FCAB1B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282222</xdr:colOff>
      <xdr:row>10</xdr:row>
      <xdr:rowOff>138289</xdr:rowOff>
    </xdr:from>
    <xdr:to>
      <xdr:col>20</xdr:col>
      <xdr:colOff>498593</xdr:colOff>
      <xdr:row>26</xdr:row>
      <xdr:rowOff>21637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129C27-A824-52AE-EC44-B6F215013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23.901899884258" createdVersion="8" refreshedVersion="8" minRefreshableVersion="3" recordCount="542" xr:uid="{7125B1AE-1A36-4A98-A481-91DCEF6965A3}">
  <cacheSource type="worksheet">
    <worksheetSource ref="A1:L543" sheet="Cleaned_Data"/>
  </cacheSource>
  <cacheFields count="14">
    <cacheField name="Order ID" numFmtId="0">
      <sharedItems count="542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7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  <s v="ORD0301"/>
        <s v="ORD0302"/>
        <s v="ORD0303"/>
        <s v="ORD0304"/>
        <s v="ORD0305"/>
        <s v="ORD0306"/>
        <s v="ORD0307"/>
        <s v="ORD0308"/>
        <s v="ORD0309"/>
        <s v="ORD0310"/>
        <s v="ORD0311"/>
        <s v="ORD0312"/>
        <s v="ORD0313"/>
        <s v="ORD0314"/>
        <s v="ORD0315"/>
        <s v="ORD0316"/>
        <s v="ORD0317"/>
        <s v="ORD0318"/>
        <s v="ORD0319"/>
        <s v="ORD0320"/>
        <s v="ORD0321"/>
        <s v="ORD0322"/>
        <s v="ORD0323"/>
        <s v="ORD0324"/>
        <s v="ORD0325"/>
        <s v="ORD0326"/>
        <s v="ORD0327"/>
        <s v="ORD0328"/>
        <s v="ORD0329"/>
        <s v="ORD0330"/>
        <s v="ORD0331"/>
        <s v="ORD0332"/>
        <s v="ORD0333"/>
        <s v="ORD0334"/>
        <s v="ORD0335"/>
        <s v="ORD0336"/>
        <s v="ORD0337"/>
        <s v="ORD0338"/>
        <s v="ORD0339"/>
        <s v="ORD0340"/>
        <s v="ORD0341"/>
        <s v="ORD0342"/>
        <s v="ORD0343"/>
        <s v="ORD0344"/>
        <s v="ORD0345"/>
        <s v="ORD0346"/>
        <s v="ORD0347"/>
        <s v="ORD0348"/>
        <s v="ORD0349"/>
        <s v="ORD0350"/>
        <s v="ORD0351"/>
        <s v="ORD0352"/>
        <s v="ORD0353"/>
        <s v="ORD0354"/>
        <s v="ORD0355"/>
        <s v="ORD0356"/>
        <s v="ORD0357"/>
        <s v="ORD0358"/>
        <s v="ORD0359"/>
        <s v="ORD0360"/>
        <s v="ORD0361"/>
        <s v="ORD0362"/>
        <s v="ORD0363"/>
        <s v="ORD0364"/>
        <s v="ORD0365"/>
        <s v="ORD0366"/>
        <s v="ORD0367"/>
        <s v="ORD0368"/>
        <s v="ORD0369"/>
        <s v="ORD0370"/>
        <s v="ORD0371"/>
        <s v="ORD0372"/>
        <s v="ORD0373"/>
        <s v="ORD0374"/>
        <s v="ORD0375"/>
        <s v="ORD0376"/>
        <s v="ORD0377"/>
        <s v="ORD0378"/>
        <s v="ORD0379"/>
        <s v="ORD0380"/>
        <s v="ORD0381"/>
        <s v="ORD0382"/>
        <s v="ORD0383"/>
        <s v="ORD0384"/>
        <s v="ORD0385"/>
        <s v="ORD0386"/>
        <s v="ORD0387"/>
        <s v="ORD0388"/>
        <s v="ORD0389"/>
        <s v="ORD0390"/>
        <s v="ORD0391"/>
        <s v="ORD0392"/>
        <s v="ORD0393"/>
        <s v="ORD0394"/>
        <s v="ORD0395"/>
        <s v="ORD0396"/>
        <s v="ORD0397"/>
        <s v="ORD0398"/>
        <s v="ORD0399"/>
        <s v="ORD0400"/>
        <s v="ORD0401"/>
        <s v="ORD0402"/>
        <s v="ORD0403"/>
        <s v="ORD0404"/>
        <s v="ORD0405"/>
        <s v="ORD0406"/>
        <s v="ORD0407"/>
        <s v="ORD0408"/>
        <s v="ORD0409"/>
        <s v="ORD0410"/>
        <s v="ORD0411"/>
        <s v="ORD0412"/>
        <s v="ORD0413"/>
        <s v="ORD0414"/>
        <s v="ORD0415"/>
        <s v="ORD0416"/>
        <s v="ORD0417"/>
        <s v="ORD0418"/>
        <s v="ORD0419"/>
        <s v="ORD0420"/>
        <s v="ORD0421"/>
        <s v="ORD0422"/>
        <s v="ORD0423"/>
        <s v="ORD0424"/>
        <s v="ORD0425"/>
        <s v="ORD0426"/>
        <s v="ORD0427"/>
        <s v="ORD0428"/>
        <s v="ORD0429"/>
        <s v="ORD0430"/>
        <s v="ORD0431"/>
        <s v="ORD0432"/>
        <s v="ORD0433"/>
        <s v="ORD0434"/>
        <s v="ORD0435"/>
        <s v="ORD0436"/>
        <s v="ORD0437"/>
        <s v="ORD0438"/>
        <s v="ORD0439"/>
        <s v="ORD0440"/>
        <s v="ORD0441"/>
        <s v="ORD0442"/>
        <s v="ORD0443"/>
        <s v="ORD0444"/>
        <s v="ORD0445"/>
        <s v="ORD0446"/>
        <s v="ORD0447"/>
        <s v="ORD0448"/>
        <s v="ORD0449"/>
        <s v="ORD0450"/>
        <s v="ORD0451"/>
        <s v="ORD0452"/>
        <s v="ORD0453"/>
        <s v="ORD0454"/>
        <s v="ORD0455"/>
        <s v="ORD0456"/>
        <s v="ORD0457"/>
        <s v="ORD0458"/>
        <s v="ORD0459"/>
        <s v="ORD0460"/>
        <s v="ORD0461"/>
        <s v="ORD0462"/>
        <s v="ORD0463"/>
        <s v="ORD0464"/>
        <s v="ORD0465"/>
        <s v="ORD0466"/>
        <s v="ORD0467"/>
        <s v="ORD0468"/>
        <s v="ORD0469"/>
        <s v="ORD0470"/>
        <s v="ORD0471"/>
        <s v="ORD0472"/>
        <s v="ORD0473"/>
        <s v="ORD0474"/>
        <s v="ORD0475"/>
        <s v="ORD0476"/>
        <s v="ORD0477"/>
        <s v="ORD0478"/>
        <s v="ORD0479"/>
        <s v="ORD0480"/>
        <s v="ORD0481"/>
        <s v="ORD0482"/>
        <s v="ORD0483"/>
        <s v="ORD0484"/>
        <s v="ORD0485"/>
        <s v="ORD0486"/>
        <s v="ORD0487"/>
        <s v="ORD0488"/>
        <s v="ORD0489"/>
        <s v="ORD0490"/>
        <s v="ORD0491"/>
        <s v="ORD0492"/>
        <s v="ORD0493"/>
        <s v="ORD0494"/>
        <s v="ORD0495"/>
        <s v="ORD0496"/>
        <s v="ORD0497"/>
        <s v="ORD0498"/>
        <s v="ORD0499"/>
        <s v="ORD0500"/>
        <s v="ORD0501"/>
        <s v="ORD0502"/>
        <s v="ORD0503"/>
        <s v="ORD0504"/>
        <s v="ORD0505"/>
        <s v="ORD0506"/>
        <s v="ORD0507"/>
        <s v="ORD0508"/>
        <s v="ORD0509"/>
        <s v="ORD0510"/>
        <s v="ORD0511"/>
        <s v="ORD0512"/>
        <s v="ORD0513"/>
        <s v="ORD0514"/>
        <s v="ORD0515"/>
        <s v="ORD0516"/>
        <s v="ORD0517"/>
        <s v="ORD0518"/>
        <s v="ORD0519"/>
        <s v="ORD0520"/>
        <s v="ORD0521"/>
        <s v="ORD0522"/>
        <s v="ORD0523"/>
        <s v="ORD0524"/>
        <s v="ORD0525"/>
        <s v="ORD0526"/>
        <s v="ORD0527"/>
        <s v="ORD0528"/>
        <s v="ORD0529"/>
        <s v="ORD0530"/>
        <s v="ORD0531"/>
        <s v="ORD0532"/>
        <s v="ORD0533"/>
        <s v="ORD0534"/>
        <s v="ORD0535"/>
        <s v="ORD0536"/>
        <s v="ORD0537"/>
        <s v="ORD0538"/>
        <s v="ORD0539"/>
        <s v="ORD0540"/>
        <s v="ORD0541"/>
        <s v="ORD0542"/>
      </sharedItems>
    </cacheField>
    <cacheField name="Order Date" numFmtId="164">
      <sharedItems containsSemiMixedTypes="0" containsNonDate="0" containsDate="1" containsString="0" minDate="2025-01-06T00:00:00" maxDate="2026-07-01T00:00:00" count="352">
        <d v="2025-04-25T00:00:00"/>
        <d v="2025-03-31T00:00:00"/>
        <d v="2026-06-02T00:00:00"/>
        <d v="2025-10-12T00:00:00"/>
        <d v="2025-12-11T00:00:00"/>
        <d v="2025-09-28T00:00:00"/>
        <d v="2026-01-06T00:00:00"/>
        <d v="2025-08-27T00:00:00"/>
        <d v="2025-12-30T00:00:00"/>
        <d v="2026-04-19T00:00:00"/>
        <d v="2025-11-20T00:00:00"/>
        <d v="2026-05-27T00:00:00"/>
        <d v="2025-09-27T00:00:00"/>
        <d v="2026-05-21T00:00:00"/>
        <d v="2025-03-07T00:00:00"/>
        <d v="2025-04-28T00:00:00"/>
        <d v="2026-04-10T00:00:00"/>
        <d v="2026-06-04T00:00:00"/>
        <d v="2025-11-28T00:00:00"/>
        <d v="2025-09-04T00:00:00"/>
        <d v="2026-05-02T00:00:00"/>
        <d v="2025-07-25T00:00:00"/>
        <d v="2025-08-19T00:00:00"/>
        <d v="2025-03-14T00:00:00"/>
        <d v="2025-09-01T00:00:00"/>
        <d v="2026-04-30T00:00:00"/>
        <d v="2026-02-25T00:00:00"/>
        <d v="2025-09-12T00:00:00"/>
        <d v="2025-01-16T00:00:00"/>
        <d v="2026-02-15T00:00:00"/>
        <d v="2025-10-20T00:00:00"/>
        <d v="2025-03-04T00:00:00"/>
        <d v="2026-06-05T00:00:00"/>
        <d v="2025-05-03T00:00:00"/>
        <d v="2026-06-20T00:00:00"/>
        <d v="2025-05-15T00:00:00"/>
        <d v="2025-04-13T00:00:00"/>
        <d v="2026-01-14T00:00:00"/>
        <d v="2025-11-03T00:00:00"/>
        <d v="2025-10-16T00:00:00"/>
        <d v="2025-02-22T00:00:00"/>
        <d v="2025-09-26T00:00:00"/>
        <d v="2025-06-02T00:00:00"/>
        <d v="2025-02-12T00:00:00"/>
        <d v="2025-04-16T00:00:00"/>
        <d v="2025-01-26T00:00:00"/>
        <d v="2025-04-21T00:00:00"/>
        <d v="2025-11-09T00:00:00"/>
        <d v="2025-03-13T00:00:00"/>
        <d v="2025-09-25T00:00:00"/>
        <d v="2025-11-18T00:00:00"/>
        <d v="2026-03-23T00:00:00"/>
        <d v="2025-10-30T00:00:00"/>
        <d v="2025-11-05T00:00:00"/>
        <d v="2025-11-26T00:00:00"/>
        <d v="2025-03-28T00:00:00"/>
        <d v="2025-05-31T00:00:00"/>
        <d v="2025-07-19T00:00:00"/>
        <d v="2026-03-12T00:00:00"/>
        <d v="2025-05-17T00:00:00"/>
        <d v="2026-03-27T00:00:00"/>
        <d v="2025-03-24T00:00:00"/>
        <d v="2026-03-01T00:00:00"/>
        <d v="2026-02-03T00:00:00"/>
        <d v="2026-02-04T00:00:00"/>
        <d v="2025-01-30T00:00:00"/>
        <d v="2025-01-28T00:00:00"/>
        <d v="2025-02-21T00:00:00"/>
        <d v="2026-01-24T00:00:00"/>
        <d v="2025-02-23T00:00:00"/>
        <d v="2025-01-21T00:00:00"/>
        <d v="2025-08-12T00:00:00"/>
        <d v="2025-07-23T00:00:00"/>
        <d v="2026-06-30T00:00:00"/>
        <d v="2026-05-17T00:00:00"/>
        <d v="2026-06-19T00:00:00"/>
        <d v="2025-03-30T00:00:00"/>
        <d v="2026-05-22T00:00:00"/>
        <d v="2025-10-14T00:00:00"/>
        <d v="2026-02-21T00:00:00"/>
        <d v="2025-10-29T00:00:00"/>
        <d v="2026-06-28T00:00:00"/>
        <d v="2025-09-15T00:00:00"/>
        <d v="2025-08-10T00:00:00"/>
        <d v="2026-01-05T00:00:00"/>
        <d v="2025-02-25T00:00:00"/>
        <d v="2025-10-19T00:00:00"/>
        <d v="2026-05-05T00:00:00"/>
        <d v="2025-08-20T00:00:00"/>
        <d v="2025-03-03T00:00:00"/>
        <d v="2025-09-03T00:00:00"/>
        <d v="2026-04-27T00:00:00"/>
        <d v="2025-08-28T00:00:00"/>
        <d v="2025-05-26T00:00:00"/>
        <d v="2026-04-25T00:00:00"/>
        <d v="2025-02-10T00:00:00"/>
        <d v="2025-01-22T00:00:00"/>
        <d v="2025-04-18T00:00:00"/>
        <d v="2025-02-07T00:00:00"/>
        <d v="2026-06-11T00:00:00"/>
        <d v="2026-05-26T00:00:00"/>
        <d v="2026-05-12T00:00:00"/>
        <d v="2026-02-22T00:00:00"/>
        <d v="2025-10-26T00:00:00"/>
        <d v="2025-05-29T00:00:00"/>
        <d v="2026-05-11T00:00:00"/>
        <d v="2025-09-02T00:00:00"/>
        <d v="2025-12-06T00:00:00"/>
        <d v="2025-05-28T00:00:00"/>
        <d v="2026-02-12T00:00:00"/>
        <d v="2025-03-12T00:00:00"/>
        <d v="2025-10-28T00:00:00"/>
        <d v="2025-07-04T00:00:00"/>
        <d v="2025-05-27T00:00:00"/>
        <d v="2025-10-22T00:00:00"/>
        <d v="2026-03-11T00:00:00"/>
        <d v="2025-08-31T00:00:00"/>
        <d v="2025-01-09T00:00:00"/>
        <d v="2025-07-14T00:00:00"/>
        <d v="2025-02-04T00:00:00"/>
        <d v="2026-03-02T00:00:00"/>
        <d v="2025-09-21T00:00:00"/>
        <d v="2025-05-07T00:00:00"/>
        <d v="2026-04-21T00:00:00"/>
        <d v="2026-05-20T00:00:00"/>
        <d v="2026-01-15T00:00:00"/>
        <d v="2026-01-07T00:00:00"/>
        <d v="2025-05-06T00:00:00"/>
        <d v="2025-09-07T00:00:00"/>
        <d v="2025-12-03T00:00:00"/>
        <d v="2025-04-23T00:00:00"/>
        <d v="2025-06-28T00:00:00"/>
        <d v="2026-04-05T00:00:00"/>
        <d v="2026-06-18T00:00:00"/>
        <d v="2025-05-10T00:00:00"/>
        <d v="2026-03-17T00:00:00"/>
        <d v="2025-12-14T00:00:00"/>
        <d v="2025-09-19T00:00:00"/>
        <d v="2026-03-19T00:00:00"/>
        <d v="2025-04-17T00:00:00"/>
        <d v="2026-01-12T00:00:00"/>
        <d v="2025-06-09T00:00:00"/>
        <d v="2026-03-29T00:00:00"/>
        <d v="2025-04-24T00:00:00"/>
        <d v="2025-02-26T00:00:00"/>
        <d v="2025-12-02T00:00:00"/>
        <d v="2026-04-16T00:00:00"/>
        <d v="2026-03-24T00:00:00"/>
        <d v="2025-11-14T00:00:00"/>
        <d v="2026-06-07T00:00:00"/>
        <d v="2025-09-20T00:00:00"/>
        <d v="2026-04-08T00:00:00"/>
        <d v="2026-05-03T00:00:00"/>
        <d v="2025-12-13T00:00:00"/>
        <d v="2026-01-31T00:00:00"/>
        <d v="2026-06-24T00:00:00"/>
        <d v="2025-08-08T00:00:00"/>
        <d v="2025-06-16T00:00:00"/>
        <d v="2025-07-18T00:00:00"/>
        <d v="2025-07-24T00:00:00"/>
        <d v="2026-06-10T00:00:00"/>
        <d v="2025-08-18T00:00:00"/>
        <d v="2025-10-21T00:00:00"/>
        <d v="2025-05-05T00:00:00"/>
        <d v="2025-12-28T00:00:00"/>
        <d v="2025-09-17T00:00:00"/>
        <d v="2025-12-07T00:00:00"/>
        <d v="2025-07-26T00:00:00"/>
        <d v="2025-03-23T00:00:00"/>
        <d v="2026-03-31T00:00:00"/>
        <d v="2025-02-28T00:00:00"/>
        <d v="2026-03-25T00:00:00"/>
        <d v="2025-02-03T00:00:00"/>
        <d v="2025-05-21T00:00:00"/>
        <d v="2025-01-27T00:00:00"/>
        <d v="2026-04-02T00:00:00"/>
        <d v="2025-10-25T00:00:00"/>
        <d v="2025-05-23T00:00:00"/>
        <d v="2025-05-13T00:00:00"/>
        <d v="2026-06-14T00:00:00"/>
        <d v="2026-06-15T00:00:00"/>
        <d v="2026-06-16T00:00:00"/>
        <d v="2025-11-07T00:00:00"/>
        <d v="2025-12-12T00:00:00"/>
        <d v="2025-08-04T00:00:00"/>
        <d v="2025-09-08T00:00:00"/>
        <d v="2025-11-23T00:00:00"/>
        <d v="2026-04-23T00:00:00"/>
        <d v="2025-06-13T00:00:00"/>
        <d v="2026-02-07T00:00:00"/>
        <d v="2025-05-18T00:00:00"/>
        <d v="2025-05-02T00:00:00"/>
        <d v="2025-12-08T00:00:00"/>
        <d v="2025-11-12T00:00:00"/>
        <d v="2026-05-07T00:00:00"/>
        <d v="2025-01-20T00:00:00"/>
        <d v="2026-05-29T00:00:00"/>
        <d v="2025-12-29T00:00:00"/>
        <d v="2025-11-01T00:00:00"/>
        <d v="2025-10-08T00:00:00"/>
        <d v="2025-02-13T00:00:00"/>
        <d v="2026-04-29T00:00:00"/>
        <d v="2025-08-26T00:00:00"/>
        <d v="2026-05-23T00:00:00"/>
        <d v="2025-04-26T00:00:00"/>
        <d v="2025-11-06T00:00:00"/>
        <d v="2026-01-18T00:00:00"/>
        <d v="2025-03-01T00:00:00"/>
        <d v="2026-03-07T00:00:00"/>
        <d v="2025-08-17T00:00:00"/>
        <d v="2025-09-11T00:00:00"/>
        <d v="2026-03-06T00:00:00"/>
        <d v="2025-08-11T00:00:00"/>
        <d v="2025-06-29T00:00:00"/>
        <d v="2026-03-03T00:00:00"/>
        <d v="2026-06-27T00:00:00"/>
        <d v="2025-03-22T00:00:00"/>
        <d v="2026-01-22T00:00:00"/>
        <d v="2025-07-29T00:00:00"/>
        <d v="2026-01-03T00:00:00"/>
        <d v="2026-04-26T00:00:00"/>
        <d v="2025-08-15T00:00:00"/>
        <d v="2025-07-20T00:00:00"/>
        <d v="2025-05-24T00:00:00"/>
        <d v="2025-02-19T00:00:00"/>
        <d v="2025-01-07T00:00:00"/>
        <d v="2026-05-30T00:00:00"/>
        <d v="2026-02-20T00:00:00"/>
        <d v="2025-01-17T00:00:00"/>
        <d v="2025-12-21T00:00:00"/>
        <d v="2026-02-11T00:00:00"/>
        <d v="2026-01-20T00:00:00"/>
        <d v="2025-03-17T00:00:00"/>
        <d v="2025-04-15T00:00:00"/>
        <d v="2026-01-25T00:00:00"/>
        <d v="2025-03-06T00:00:00"/>
        <d v="2025-05-19T00:00:00"/>
        <d v="2025-12-09T00:00:00"/>
        <d v="2025-07-01T00:00:00"/>
        <d v="2025-10-15T00:00:00"/>
        <d v="2025-03-29T00:00:00"/>
        <d v="2026-01-19T00:00:00"/>
        <d v="2026-04-12T00:00:00"/>
        <d v="2026-04-09T00:00:00"/>
        <d v="2025-04-22T00:00:00"/>
        <d v="2026-03-13T00:00:00"/>
        <d v="2025-11-30T00:00:00"/>
        <d v="2026-02-02T00:00:00"/>
        <d v="2025-06-26T00:00:00"/>
        <d v="2025-04-30T00:00:00"/>
        <d v="2025-05-22T00:00:00"/>
        <d v="2025-06-20T00:00:00"/>
        <d v="2025-02-24T00:00:00"/>
        <d v="2025-03-26T00:00:00"/>
        <d v="2025-10-23T00:00:00"/>
        <d v="2026-01-11T00:00:00"/>
        <d v="2025-05-01T00:00:00"/>
        <d v="2025-06-22T00:00:00"/>
        <d v="2026-02-26T00:00:00"/>
        <d v="2026-05-15T00:00:00"/>
        <d v="2025-07-27T00:00:00"/>
        <d v="2025-04-04T00:00:00"/>
        <d v="2025-05-16T00:00:00"/>
        <d v="2025-11-17T00:00:00"/>
        <d v="2025-06-05T00:00:00"/>
        <d v="2026-01-29T00:00:00"/>
        <d v="2026-02-06T00:00:00"/>
        <d v="2026-02-16T00:00:00"/>
        <d v="2025-07-28T00:00:00"/>
        <d v="2026-05-24T00:00:00"/>
        <d v="2025-03-20T00:00:00"/>
        <d v="2025-06-11T00:00:00"/>
        <d v="2026-01-17T00:00:00"/>
        <d v="2026-04-22T00:00:00"/>
        <d v="2025-09-09T00:00:00"/>
        <d v="2025-01-10T00:00:00"/>
        <d v="2025-03-18T00:00:00"/>
        <d v="2025-02-11T00:00:00"/>
        <d v="2025-09-13T00:00:00"/>
        <d v="2025-08-16T00:00:00"/>
        <d v="2025-01-23T00:00:00"/>
        <d v="2025-01-31T00:00:00"/>
        <d v="2025-08-13T00:00:00"/>
        <d v="2025-01-29T00:00:00"/>
        <d v="2025-02-08T00:00:00"/>
        <d v="2025-03-02T00:00:00"/>
        <d v="2026-02-10T00:00:00"/>
        <d v="2026-02-05T00:00:00"/>
        <d v="2025-06-21T00:00:00"/>
        <d v="2025-03-11T00:00:00"/>
        <d v="2026-05-06T00:00:00"/>
        <d v="2025-06-14T00:00:00"/>
        <d v="2025-06-18T00:00:00"/>
        <d v="2025-09-29T00:00:00"/>
        <d v="2025-03-05T00:00:00"/>
        <d v="2025-08-05T00:00:00"/>
        <d v="2025-06-01T00:00:00"/>
        <d v="2025-04-14T00:00:00"/>
        <d v="2025-11-04T00:00:00"/>
        <d v="2026-06-03T00:00:00"/>
        <d v="2025-04-03T00:00:00"/>
        <d v="2026-01-21T00:00:00"/>
        <d v="2025-11-02T00:00:00"/>
        <d v="2025-02-06T00:00:00"/>
        <d v="2025-09-22T00:00:00"/>
        <d v="2025-11-11T00:00:00"/>
        <d v="2026-04-14T00:00:00"/>
        <d v="2025-06-12T00:00:00"/>
        <d v="2026-03-16T00:00:00"/>
        <d v="2025-12-19T00:00:00"/>
        <d v="2025-02-16T00:00:00"/>
        <d v="2025-08-22T00:00:00"/>
        <d v="2025-09-16T00:00:00"/>
        <d v="2025-04-27T00:00:00"/>
        <d v="2026-05-08T00:00:00"/>
        <d v="2025-10-31T00:00:00"/>
        <d v="2026-01-04T00:00:00"/>
        <d v="2025-06-24T00:00:00"/>
        <d v="2025-12-17T00:00:00"/>
        <d v="2026-01-30T00:00:00"/>
        <d v="2026-04-04T00:00:00"/>
        <d v="2025-01-19T00:00:00"/>
        <d v="2025-11-08T00:00:00"/>
        <d v="2026-04-11T00:00:00"/>
        <d v="2025-05-04T00:00:00"/>
        <d v="2025-02-17T00:00:00"/>
        <d v="2025-05-12T00:00:00"/>
        <d v="2026-02-27T00:00:00"/>
        <d v="2026-01-26T00:00:00"/>
        <d v="2025-09-14T00:00:00"/>
        <d v="2026-02-01T00:00:00"/>
        <d v="2026-03-30T00:00:00"/>
        <d v="2025-06-08T00:00:00"/>
        <d v="2026-01-02T00:00:00"/>
        <d v="2026-02-18T00:00:00"/>
        <d v="2025-10-17T00:00:00"/>
        <d v="2025-07-17T00:00:00"/>
        <d v="2025-08-07T00:00:00"/>
        <d v="2025-06-07T00:00:00"/>
        <d v="2025-07-02T00:00:00"/>
        <d v="2026-02-19T00:00:00"/>
        <d v="2025-02-01T00:00:00"/>
        <d v="2025-01-06T00:00:00"/>
        <d v="2025-03-10T00:00:00"/>
        <d v="2026-05-13T00:00:00"/>
        <d v="2026-03-15T00:00:00"/>
        <d v="2026-05-14T00:00:00"/>
        <d v="2025-07-21T00:00:00"/>
        <d v="2025-08-06T00:00:00"/>
        <d v="2025-05-30T00:00:00"/>
        <d v="2025-08-24T00:00:00"/>
        <d v="2025-06-15T00:00:00"/>
      </sharedItems>
      <fieldGroup par="13"/>
    </cacheField>
    <cacheField name="Product Name" numFmtId="164">
      <sharedItems count="13">
        <s v="Laptop"/>
        <s v="Speaker"/>
        <s v="Mouse"/>
        <s v="Monitor"/>
        <s v="Webcam"/>
        <s v="Router"/>
        <s v="Printer"/>
        <s v="Headphones"/>
        <s v="Usb Drive"/>
        <s v="Keyboard"/>
        <s v=" WEBCAM " u="1"/>
        <s v=" PRINTER " u="1"/>
        <s v=" ROUTER " u="1"/>
      </sharedItems>
    </cacheField>
    <cacheField name="Quantity Sold" numFmtId="0">
      <sharedItems containsSemiMixedTypes="0" containsString="0" containsNumber="1" containsInteger="1" minValue="1" maxValue="8"/>
    </cacheField>
    <cacheField name="Unit Price" numFmtId="4">
      <sharedItems containsSemiMixedTypes="0" containsString="0" containsNumber="1" minValue="617.5" maxValue="54600"/>
    </cacheField>
    <cacheField name="Discount" numFmtId="9">
      <sharedItems containsSemiMixedTypes="0" containsString="0" containsNumber="1" minValue="0" maxValue="0.2"/>
    </cacheField>
    <cacheField name="Sales Revenue" numFmtId="4">
      <sharedItems containsSemiMixedTypes="0" containsString="0" containsNumber="1" minValue="494" maxValue="395200"/>
    </cacheField>
    <cacheField name="Cost" numFmtId="4">
      <sharedItems containsSemiMixedTypes="0" containsString="0" containsNumber="1" minValue="401.375" maxValue="283920"/>
    </cacheField>
    <cacheField name="Profit" numFmtId="4">
      <sharedItems containsSemiMixedTypes="0" containsString="0" containsNumber="1" minValue="92.625" maxValue="133770"/>
    </cacheField>
    <cacheField name="Region" numFmtId="0">
      <sharedItems count="4">
        <s v="South"/>
        <s v="North"/>
        <s v="East"/>
        <s v="West"/>
      </sharedItems>
    </cacheField>
    <cacheField name="City" numFmtId="0">
      <sharedItems count="16">
        <s v="Bengaluru"/>
        <s v="Chandigarh"/>
        <s v="Patna"/>
        <s v="Pune"/>
        <s v="Ahmedabad"/>
        <s v="Jaipur"/>
        <s v="Hyderabad"/>
        <s v="Chennai"/>
        <s v="Kochi"/>
        <s v="Mumbai"/>
        <s v="Surat"/>
        <s v="Kolkata"/>
        <s v="Bhubaneswar"/>
        <s v="Delhi"/>
        <s v="Ranchi"/>
        <s v="Lucknow"/>
      </sharedItems>
    </cacheField>
    <cacheField name="Sales Channel" numFmtId="0">
      <sharedItems count="3">
        <s v="Mobile App"/>
        <s v="Online"/>
        <s v="Offline"/>
      </sharedItems>
    </cacheField>
    <cacheField name="Months (Order Date)" numFmtId="0" databaseField="0">
      <fieldGroup base="1">
        <rangePr groupBy="months" startDate="2025-01-06T00:00:00" endDate="2026-07-01T00:00:00"/>
        <groupItems count="14">
          <s v="&lt;06-01-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6"/>
        </groupItems>
      </fieldGroup>
    </cacheField>
    <cacheField name="Years (Order Date)" numFmtId="0" databaseField="0">
      <fieldGroup base="1">
        <rangePr groupBy="years" startDate="2025-01-06T00:00:00" endDate="2026-07-01T00:00:00"/>
        <groupItems count="4">
          <s v="&lt;06-01-25"/>
          <s v="2025"/>
          <s v="2026"/>
          <s v="&gt;01-07-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x v="0"/>
    <x v="0"/>
    <x v="0"/>
    <n v="4"/>
    <n v="52000"/>
    <n v="0.05"/>
    <n v="197600"/>
    <n v="135200"/>
    <n v="62400"/>
    <x v="0"/>
    <x v="0"/>
    <x v="0"/>
  </r>
  <r>
    <x v="1"/>
    <x v="1"/>
    <x v="1"/>
    <n v="1"/>
    <n v="1890"/>
    <n v="0"/>
    <n v="1890"/>
    <n v="1228.5"/>
    <n v="661.5"/>
    <x v="1"/>
    <x v="1"/>
    <x v="1"/>
  </r>
  <r>
    <x v="2"/>
    <x v="2"/>
    <x v="1"/>
    <n v="4"/>
    <n v="1710"/>
    <n v="0.2"/>
    <n v="5472"/>
    <n v="4446"/>
    <n v="1026"/>
    <x v="2"/>
    <x v="2"/>
    <x v="2"/>
  </r>
  <r>
    <x v="3"/>
    <x v="3"/>
    <x v="0"/>
    <n v="7"/>
    <n v="52000"/>
    <n v="0.1"/>
    <n v="327600"/>
    <n v="236600"/>
    <n v="91000"/>
    <x v="3"/>
    <x v="3"/>
    <x v="1"/>
  </r>
  <r>
    <x v="4"/>
    <x v="4"/>
    <x v="2"/>
    <n v="7"/>
    <n v="617.5"/>
    <n v="0"/>
    <n v="4322.5"/>
    <n v="2809.625"/>
    <n v="1512.875"/>
    <x v="3"/>
    <x v="4"/>
    <x v="0"/>
  </r>
  <r>
    <x v="5"/>
    <x v="5"/>
    <x v="0"/>
    <n v="2"/>
    <n v="54600"/>
    <n v="0.15"/>
    <n v="92820"/>
    <n v="70980"/>
    <n v="21840"/>
    <x v="1"/>
    <x v="5"/>
    <x v="0"/>
  </r>
  <r>
    <x v="6"/>
    <x v="6"/>
    <x v="1"/>
    <n v="2"/>
    <n v="1800"/>
    <n v="0"/>
    <n v="3600"/>
    <n v="2340"/>
    <n v="1260"/>
    <x v="0"/>
    <x v="6"/>
    <x v="1"/>
  </r>
  <r>
    <x v="7"/>
    <x v="7"/>
    <x v="2"/>
    <n v="5"/>
    <n v="682.5"/>
    <n v="0.15"/>
    <n v="2900.625"/>
    <n v="2218.125"/>
    <n v="682.5"/>
    <x v="3"/>
    <x v="3"/>
    <x v="2"/>
  </r>
  <r>
    <x v="8"/>
    <x v="8"/>
    <x v="3"/>
    <n v="2"/>
    <n v="12500"/>
    <n v="0.2"/>
    <n v="20000"/>
    <n v="16250"/>
    <n v="3750"/>
    <x v="0"/>
    <x v="7"/>
    <x v="1"/>
  </r>
  <r>
    <x v="9"/>
    <x v="9"/>
    <x v="4"/>
    <n v="4"/>
    <n v="3200"/>
    <n v="0.1"/>
    <n v="11520"/>
    <n v="8320"/>
    <n v="3200"/>
    <x v="1"/>
    <x v="1"/>
    <x v="1"/>
  </r>
  <r>
    <x v="10"/>
    <x v="10"/>
    <x v="4"/>
    <n v="2"/>
    <n v="3200"/>
    <n v="0.05"/>
    <n v="6080"/>
    <n v="4160"/>
    <n v="1920"/>
    <x v="3"/>
    <x v="3"/>
    <x v="0"/>
  </r>
  <r>
    <x v="11"/>
    <x v="11"/>
    <x v="4"/>
    <n v="3"/>
    <n v="3360"/>
    <n v="0.1"/>
    <n v="9072"/>
    <n v="6552"/>
    <n v="2520"/>
    <x v="0"/>
    <x v="7"/>
    <x v="0"/>
  </r>
  <r>
    <x v="12"/>
    <x v="12"/>
    <x v="1"/>
    <n v="7"/>
    <n v="1890"/>
    <n v="0.1"/>
    <n v="11907"/>
    <n v="8599.5"/>
    <n v="3307.5"/>
    <x v="0"/>
    <x v="7"/>
    <x v="0"/>
  </r>
  <r>
    <x v="13"/>
    <x v="13"/>
    <x v="2"/>
    <n v="2"/>
    <n v="617.5"/>
    <n v="0.05"/>
    <n v="1173.25"/>
    <n v="802.75"/>
    <n v="370.5"/>
    <x v="0"/>
    <x v="8"/>
    <x v="0"/>
  </r>
  <r>
    <x v="14"/>
    <x v="14"/>
    <x v="4"/>
    <n v="8"/>
    <n v="3360"/>
    <n v="0.2"/>
    <n v="21504"/>
    <n v="17472"/>
    <n v="4032"/>
    <x v="3"/>
    <x v="9"/>
    <x v="0"/>
  </r>
  <r>
    <x v="15"/>
    <x v="15"/>
    <x v="5"/>
    <n v="6"/>
    <n v="2600"/>
    <n v="0"/>
    <n v="15600"/>
    <n v="10140"/>
    <n v="5460"/>
    <x v="3"/>
    <x v="10"/>
    <x v="1"/>
  </r>
  <r>
    <x v="16"/>
    <x v="16"/>
    <x v="0"/>
    <n v="3"/>
    <n v="52000"/>
    <n v="0.2"/>
    <n v="124800"/>
    <n v="101400"/>
    <n v="23400"/>
    <x v="1"/>
    <x v="5"/>
    <x v="0"/>
  </r>
  <r>
    <x v="17"/>
    <x v="17"/>
    <x v="1"/>
    <n v="3"/>
    <n v="1800"/>
    <n v="0.1"/>
    <n v="4860"/>
    <n v="3510"/>
    <n v="1350"/>
    <x v="0"/>
    <x v="0"/>
    <x v="0"/>
  </r>
  <r>
    <x v="18"/>
    <x v="18"/>
    <x v="6"/>
    <n v="2"/>
    <n v="9310"/>
    <n v="0.1"/>
    <n v="16758"/>
    <n v="12103"/>
    <n v="4655"/>
    <x v="3"/>
    <x v="3"/>
    <x v="1"/>
  </r>
  <r>
    <x v="19"/>
    <x v="19"/>
    <x v="1"/>
    <n v="2"/>
    <n v="1710"/>
    <n v="0.15"/>
    <n v="2907"/>
    <n v="2223"/>
    <n v="684"/>
    <x v="1"/>
    <x v="1"/>
    <x v="1"/>
  </r>
  <r>
    <x v="20"/>
    <x v="20"/>
    <x v="5"/>
    <n v="5"/>
    <n v="2600"/>
    <n v="0.2"/>
    <n v="10400"/>
    <n v="8450"/>
    <n v="1950"/>
    <x v="2"/>
    <x v="2"/>
    <x v="0"/>
  </r>
  <r>
    <x v="21"/>
    <x v="21"/>
    <x v="7"/>
    <n v="6"/>
    <n v="2310"/>
    <n v="0.15"/>
    <n v="11781"/>
    <n v="9009"/>
    <n v="2772"/>
    <x v="2"/>
    <x v="11"/>
    <x v="1"/>
  </r>
  <r>
    <x v="22"/>
    <x v="22"/>
    <x v="2"/>
    <n v="1"/>
    <n v="650"/>
    <n v="0.2"/>
    <n v="520"/>
    <n v="422.5"/>
    <n v="97.5"/>
    <x v="0"/>
    <x v="7"/>
    <x v="1"/>
  </r>
  <r>
    <x v="23"/>
    <x v="23"/>
    <x v="0"/>
    <n v="2"/>
    <n v="52000"/>
    <n v="0"/>
    <n v="104000"/>
    <n v="67600"/>
    <n v="36400"/>
    <x v="3"/>
    <x v="9"/>
    <x v="0"/>
  </r>
  <r>
    <x v="24"/>
    <x v="24"/>
    <x v="7"/>
    <n v="4"/>
    <n v="2310"/>
    <n v="0.2"/>
    <n v="7392"/>
    <n v="6006"/>
    <n v="1386"/>
    <x v="0"/>
    <x v="8"/>
    <x v="1"/>
  </r>
  <r>
    <x v="25"/>
    <x v="25"/>
    <x v="4"/>
    <n v="2"/>
    <n v="3200"/>
    <n v="0"/>
    <n v="6400"/>
    <n v="4160"/>
    <n v="2240"/>
    <x v="2"/>
    <x v="12"/>
    <x v="2"/>
  </r>
  <r>
    <x v="26"/>
    <x v="26"/>
    <x v="6"/>
    <n v="2"/>
    <n v="9310"/>
    <n v="0"/>
    <n v="18620"/>
    <n v="12103"/>
    <n v="6517"/>
    <x v="2"/>
    <x v="12"/>
    <x v="1"/>
  </r>
  <r>
    <x v="27"/>
    <x v="27"/>
    <x v="3"/>
    <n v="8"/>
    <n v="12500"/>
    <n v="0.05"/>
    <n v="95000"/>
    <n v="65000"/>
    <n v="30000"/>
    <x v="2"/>
    <x v="2"/>
    <x v="2"/>
  </r>
  <r>
    <x v="28"/>
    <x v="9"/>
    <x v="3"/>
    <n v="8"/>
    <n v="11875"/>
    <n v="0.2"/>
    <n v="76000"/>
    <n v="61750"/>
    <n v="14250"/>
    <x v="1"/>
    <x v="13"/>
    <x v="0"/>
  </r>
  <r>
    <x v="29"/>
    <x v="28"/>
    <x v="2"/>
    <n v="3"/>
    <n v="650"/>
    <n v="0.15"/>
    <n v="1657.5"/>
    <n v="1267.5"/>
    <n v="390"/>
    <x v="2"/>
    <x v="14"/>
    <x v="1"/>
  </r>
  <r>
    <x v="30"/>
    <x v="29"/>
    <x v="0"/>
    <n v="7"/>
    <n v="52000"/>
    <n v="0"/>
    <n v="364000"/>
    <n v="236600"/>
    <n v="127400"/>
    <x v="2"/>
    <x v="12"/>
    <x v="2"/>
  </r>
  <r>
    <x v="31"/>
    <x v="30"/>
    <x v="4"/>
    <n v="3"/>
    <n v="3360"/>
    <n v="0.05"/>
    <n v="9576"/>
    <n v="6552"/>
    <n v="3024"/>
    <x v="3"/>
    <x v="3"/>
    <x v="1"/>
  </r>
  <r>
    <x v="32"/>
    <x v="31"/>
    <x v="8"/>
    <n v="1"/>
    <n v="665"/>
    <n v="0.2"/>
    <n v="532"/>
    <n v="432.25"/>
    <n v="99.75"/>
    <x v="2"/>
    <x v="2"/>
    <x v="1"/>
  </r>
  <r>
    <x v="33"/>
    <x v="32"/>
    <x v="2"/>
    <n v="2"/>
    <n v="650"/>
    <n v="0.2"/>
    <n v="1040"/>
    <n v="845"/>
    <n v="195"/>
    <x v="1"/>
    <x v="1"/>
    <x v="2"/>
  </r>
  <r>
    <x v="34"/>
    <x v="33"/>
    <x v="1"/>
    <n v="1"/>
    <n v="1800"/>
    <n v="0.2"/>
    <n v="1440"/>
    <n v="1170"/>
    <n v="270"/>
    <x v="1"/>
    <x v="15"/>
    <x v="0"/>
  </r>
  <r>
    <x v="35"/>
    <x v="34"/>
    <x v="8"/>
    <n v="4"/>
    <n v="700"/>
    <n v="0.1"/>
    <n v="2520"/>
    <n v="1820"/>
    <n v="700"/>
    <x v="0"/>
    <x v="6"/>
    <x v="2"/>
  </r>
  <r>
    <x v="36"/>
    <x v="35"/>
    <x v="7"/>
    <n v="6"/>
    <n v="2310"/>
    <n v="0"/>
    <n v="13860"/>
    <n v="9009"/>
    <n v="4851"/>
    <x v="1"/>
    <x v="15"/>
    <x v="0"/>
  </r>
  <r>
    <x v="37"/>
    <x v="36"/>
    <x v="2"/>
    <n v="5"/>
    <n v="650"/>
    <n v="0.05"/>
    <n v="3087.5"/>
    <n v="2112.5"/>
    <n v="975"/>
    <x v="3"/>
    <x v="9"/>
    <x v="1"/>
  </r>
  <r>
    <x v="38"/>
    <x v="37"/>
    <x v="7"/>
    <n v="8"/>
    <n v="2200"/>
    <n v="0.2"/>
    <n v="14080"/>
    <n v="11440"/>
    <n v="2640"/>
    <x v="3"/>
    <x v="9"/>
    <x v="0"/>
  </r>
  <r>
    <x v="39"/>
    <x v="38"/>
    <x v="2"/>
    <n v="5"/>
    <n v="650"/>
    <n v="0"/>
    <n v="3250"/>
    <n v="2112.5"/>
    <n v="1137.5"/>
    <x v="1"/>
    <x v="1"/>
    <x v="2"/>
  </r>
  <r>
    <x v="40"/>
    <x v="39"/>
    <x v="1"/>
    <n v="6"/>
    <n v="1800"/>
    <n v="0.05"/>
    <n v="10260"/>
    <n v="7020"/>
    <n v="3240"/>
    <x v="3"/>
    <x v="10"/>
    <x v="2"/>
  </r>
  <r>
    <x v="41"/>
    <x v="40"/>
    <x v="2"/>
    <n v="5"/>
    <n v="682.5"/>
    <n v="0"/>
    <n v="3412.5"/>
    <n v="2218.125"/>
    <n v="1194.375"/>
    <x v="1"/>
    <x v="5"/>
    <x v="1"/>
  </r>
  <r>
    <x v="42"/>
    <x v="41"/>
    <x v="9"/>
    <n v="7"/>
    <n v="1575"/>
    <n v="0.2"/>
    <n v="8820"/>
    <n v="7166.25"/>
    <n v="1653.75"/>
    <x v="1"/>
    <x v="13"/>
    <x v="1"/>
  </r>
  <r>
    <x v="43"/>
    <x v="42"/>
    <x v="5"/>
    <n v="6"/>
    <n v="2470"/>
    <n v="0.2"/>
    <n v="11856"/>
    <n v="9633"/>
    <n v="2223"/>
    <x v="0"/>
    <x v="8"/>
    <x v="1"/>
  </r>
  <r>
    <x v="44"/>
    <x v="43"/>
    <x v="7"/>
    <n v="1"/>
    <n v="2200"/>
    <n v="0.1"/>
    <n v="1980"/>
    <n v="1430"/>
    <n v="550"/>
    <x v="0"/>
    <x v="7"/>
    <x v="0"/>
  </r>
  <r>
    <x v="45"/>
    <x v="44"/>
    <x v="8"/>
    <n v="3"/>
    <n v="735"/>
    <n v="0.05"/>
    <n v="2094.75"/>
    <n v="1433.25"/>
    <n v="661.5"/>
    <x v="0"/>
    <x v="7"/>
    <x v="2"/>
  </r>
  <r>
    <x v="46"/>
    <x v="45"/>
    <x v="9"/>
    <n v="7"/>
    <n v="1500"/>
    <n v="0.05"/>
    <n v="9975"/>
    <n v="6825"/>
    <n v="3150"/>
    <x v="3"/>
    <x v="3"/>
    <x v="0"/>
  </r>
  <r>
    <x v="47"/>
    <x v="46"/>
    <x v="4"/>
    <n v="8"/>
    <n v="3040"/>
    <n v="0.05"/>
    <n v="23104"/>
    <n v="15808"/>
    <n v="7296"/>
    <x v="0"/>
    <x v="8"/>
    <x v="2"/>
  </r>
  <r>
    <x v="48"/>
    <x v="47"/>
    <x v="3"/>
    <n v="1"/>
    <n v="12500"/>
    <n v="0.05"/>
    <n v="11875"/>
    <n v="8125"/>
    <n v="3750"/>
    <x v="2"/>
    <x v="12"/>
    <x v="2"/>
  </r>
  <r>
    <x v="49"/>
    <x v="48"/>
    <x v="7"/>
    <n v="7"/>
    <n v="2200"/>
    <n v="0.2"/>
    <n v="12320"/>
    <n v="10010"/>
    <n v="2310"/>
    <x v="3"/>
    <x v="9"/>
    <x v="1"/>
  </r>
  <r>
    <x v="50"/>
    <x v="49"/>
    <x v="9"/>
    <n v="1"/>
    <n v="1500"/>
    <n v="0"/>
    <n v="1500"/>
    <n v="975"/>
    <n v="525"/>
    <x v="2"/>
    <x v="12"/>
    <x v="0"/>
  </r>
  <r>
    <x v="51"/>
    <x v="50"/>
    <x v="4"/>
    <n v="7"/>
    <n v="3040"/>
    <n v="0.2"/>
    <n v="17024"/>
    <n v="13832"/>
    <n v="3192"/>
    <x v="0"/>
    <x v="6"/>
    <x v="1"/>
  </r>
  <r>
    <x v="52"/>
    <x v="51"/>
    <x v="0"/>
    <n v="6"/>
    <n v="52000"/>
    <n v="0.15"/>
    <n v="265200"/>
    <n v="202800"/>
    <n v="62400"/>
    <x v="1"/>
    <x v="5"/>
    <x v="0"/>
  </r>
  <r>
    <x v="53"/>
    <x v="50"/>
    <x v="2"/>
    <n v="5"/>
    <n v="650"/>
    <n v="0.15"/>
    <n v="2762.5"/>
    <n v="2112.5"/>
    <n v="650"/>
    <x v="3"/>
    <x v="10"/>
    <x v="0"/>
  </r>
  <r>
    <x v="54"/>
    <x v="52"/>
    <x v="5"/>
    <n v="4"/>
    <n v="2600"/>
    <n v="0.15"/>
    <n v="8840"/>
    <n v="6760"/>
    <n v="2080"/>
    <x v="2"/>
    <x v="2"/>
    <x v="0"/>
  </r>
  <r>
    <x v="55"/>
    <x v="53"/>
    <x v="4"/>
    <n v="5"/>
    <n v="3040"/>
    <n v="0.1"/>
    <n v="13680"/>
    <n v="9880"/>
    <n v="3800"/>
    <x v="0"/>
    <x v="8"/>
    <x v="0"/>
  </r>
  <r>
    <x v="56"/>
    <x v="54"/>
    <x v="6"/>
    <n v="8"/>
    <n v="10290"/>
    <n v="0.05"/>
    <n v="78204"/>
    <n v="53508"/>
    <n v="24696"/>
    <x v="2"/>
    <x v="2"/>
    <x v="0"/>
  </r>
  <r>
    <x v="57"/>
    <x v="55"/>
    <x v="7"/>
    <n v="2"/>
    <n v="2200"/>
    <n v="0.05"/>
    <n v="4180"/>
    <n v="2860"/>
    <n v="1320"/>
    <x v="3"/>
    <x v="3"/>
    <x v="1"/>
  </r>
  <r>
    <x v="58"/>
    <x v="56"/>
    <x v="0"/>
    <n v="4"/>
    <n v="49400"/>
    <n v="0.15"/>
    <n v="167960"/>
    <n v="128440"/>
    <n v="39520"/>
    <x v="1"/>
    <x v="15"/>
    <x v="2"/>
  </r>
  <r>
    <x v="59"/>
    <x v="57"/>
    <x v="4"/>
    <n v="7"/>
    <n v="3360"/>
    <n v="0.05"/>
    <n v="22344"/>
    <n v="15288"/>
    <n v="7056"/>
    <x v="0"/>
    <x v="0"/>
    <x v="1"/>
  </r>
  <r>
    <x v="60"/>
    <x v="58"/>
    <x v="3"/>
    <n v="8"/>
    <n v="12500"/>
    <n v="0"/>
    <n v="100000"/>
    <n v="65000"/>
    <n v="35000"/>
    <x v="0"/>
    <x v="0"/>
    <x v="2"/>
  </r>
  <r>
    <x v="61"/>
    <x v="59"/>
    <x v="6"/>
    <n v="8"/>
    <n v="9800"/>
    <n v="0.2"/>
    <n v="62720"/>
    <n v="50960"/>
    <n v="11760"/>
    <x v="2"/>
    <x v="14"/>
    <x v="1"/>
  </r>
  <r>
    <x v="62"/>
    <x v="20"/>
    <x v="6"/>
    <n v="4"/>
    <n v="9800"/>
    <n v="0.1"/>
    <n v="35280"/>
    <n v="25480"/>
    <n v="9800"/>
    <x v="2"/>
    <x v="2"/>
    <x v="2"/>
  </r>
  <r>
    <x v="63"/>
    <x v="60"/>
    <x v="2"/>
    <n v="4"/>
    <n v="650"/>
    <n v="0.1"/>
    <n v="2340"/>
    <n v="1690"/>
    <n v="650"/>
    <x v="3"/>
    <x v="4"/>
    <x v="0"/>
  </r>
  <r>
    <x v="64"/>
    <x v="61"/>
    <x v="9"/>
    <n v="4"/>
    <n v="1500"/>
    <n v="0.15"/>
    <n v="5100"/>
    <n v="3900"/>
    <n v="1200"/>
    <x v="0"/>
    <x v="7"/>
    <x v="1"/>
  </r>
  <r>
    <x v="65"/>
    <x v="62"/>
    <x v="4"/>
    <n v="8"/>
    <n v="3200"/>
    <n v="0.15"/>
    <n v="21760"/>
    <n v="16640"/>
    <n v="5120"/>
    <x v="1"/>
    <x v="1"/>
    <x v="2"/>
  </r>
  <r>
    <x v="66"/>
    <x v="63"/>
    <x v="1"/>
    <n v="7"/>
    <n v="1710"/>
    <n v="0.15"/>
    <n v="10174.5"/>
    <n v="7780.5"/>
    <n v="2394"/>
    <x v="1"/>
    <x v="5"/>
    <x v="2"/>
  </r>
  <r>
    <x v="67"/>
    <x v="64"/>
    <x v="4"/>
    <n v="8"/>
    <n v="3200"/>
    <n v="0.05"/>
    <n v="24320"/>
    <n v="16640"/>
    <n v="7680"/>
    <x v="3"/>
    <x v="10"/>
    <x v="2"/>
  </r>
  <r>
    <x v="68"/>
    <x v="65"/>
    <x v="4"/>
    <n v="7"/>
    <n v="3200"/>
    <n v="0.05"/>
    <n v="21280"/>
    <n v="14560"/>
    <n v="6720"/>
    <x v="2"/>
    <x v="2"/>
    <x v="0"/>
  </r>
  <r>
    <x v="69"/>
    <x v="66"/>
    <x v="4"/>
    <n v="2"/>
    <n v="3040"/>
    <n v="0.15"/>
    <n v="5168"/>
    <n v="3952"/>
    <n v="1216"/>
    <x v="0"/>
    <x v="8"/>
    <x v="1"/>
  </r>
  <r>
    <x v="70"/>
    <x v="67"/>
    <x v="7"/>
    <n v="6"/>
    <n v="2310"/>
    <n v="0.05"/>
    <n v="13167"/>
    <n v="9009"/>
    <n v="4158"/>
    <x v="2"/>
    <x v="12"/>
    <x v="2"/>
  </r>
  <r>
    <x v="71"/>
    <x v="68"/>
    <x v="7"/>
    <n v="5"/>
    <n v="2310"/>
    <n v="0"/>
    <n v="11550"/>
    <n v="7507.5"/>
    <n v="4042.5"/>
    <x v="2"/>
    <x v="11"/>
    <x v="0"/>
  </r>
  <r>
    <x v="72"/>
    <x v="69"/>
    <x v="8"/>
    <n v="2"/>
    <n v="700"/>
    <n v="0"/>
    <n v="1400"/>
    <n v="910"/>
    <n v="490"/>
    <x v="1"/>
    <x v="1"/>
    <x v="1"/>
  </r>
  <r>
    <x v="73"/>
    <x v="70"/>
    <x v="1"/>
    <n v="4"/>
    <n v="1800"/>
    <n v="0.05"/>
    <n v="6840"/>
    <n v="4680"/>
    <n v="2160"/>
    <x v="2"/>
    <x v="11"/>
    <x v="0"/>
  </r>
  <r>
    <x v="74"/>
    <x v="71"/>
    <x v="6"/>
    <n v="6"/>
    <n v="9800"/>
    <n v="0.05"/>
    <n v="55860"/>
    <n v="38220"/>
    <n v="17640"/>
    <x v="1"/>
    <x v="1"/>
    <x v="2"/>
  </r>
  <r>
    <x v="75"/>
    <x v="46"/>
    <x v="1"/>
    <n v="5"/>
    <n v="1710"/>
    <n v="0.2"/>
    <n v="6840"/>
    <n v="5557.5"/>
    <n v="1282.5"/>
    <x v="2"/>
    <x v="14"/>
    <x v="0"/>
  </r>
  <r>
    <x v="76"/>
    <x v="72"/>
    <x v="2"/>
    <n v="2"/>
    <n v="650"/>
    <n v="0.1"/>
    <n v="1170"/>
    <n v="845"/>
    <n v="325"/>
    <x v="1"/>
    <x v="13"/>
    <x v="2"/>
  </r>
  <r>
    <x v="77"/>
    <x v="73"/>
    <x v="4"/>
    <n v="2"/>
    <n v="3200"/>
    <n v="0.2"/>
    <n v="5120"/>
    <n v="4160"/>
    <n v="960"/>
    <x v="3"/>
    <x v="9"/>
    <x v="2"/>
  </r>
  <r>
    <x v="78"/>
    <x v="74"/>
    <x v="2"/>
    <n v="6"/>
    <n v="682.5"/>
    <n v="0.15"/>
    <n v="3480.75"/>
    <n v="2661.75"/>
    <n v="819"/>
    <x v="0"/>
    <x v="8"/>
    <x v="1"/>
  </r>
  <r>
    <x v="79"/>
    <x v="75"/>
    <x v="7"/>
    <n v="8"/>
    <n v="2310"/>
    <n v="0.15"/>
    <n v="15708"/>
    <n v="12012"/>
    <n v="3696"/>
    <x v="3"/>
    <x v="4"/>
    <x v="1"/>
  </r>
  <r>
    <x v="80"/>
    <x v="76"/>
    <x v="7"/>
    <n v="4"/>
    <n v="2310"/>
    <n v="0.15"/>
    <n v="7854"/>
    <n v="6006"/>
    <n v="1848"/>
    <x v="2"/>
    <x v="12"/>
    <x v="1"/>
  </r>
  <r>
    <x v="81"/>
    <x v="77"/>
    <x v="8"/>
    <n v="8"/>
    <n v="700"/>
    <n v="0.05"/>
    <n v="5320"/>
    <n v="3640"/>
    <n v="1680"/>
    <x v="3"/>
    <x v="4"/>
    <x v="2"/>
  </r>
  <r>
    <x v="82"/>
    <x v="78"/>
    <x v="1"/>
    <n v="1"/>
    <n v="1800"/>
    <n v="0.2"/>
    <n v="1440"/>
    <n v="1170"/>
    <n v="270"/>
    <x v="0"/>
    <x v="0"/>
    <x v="1"/>
  </r>
  <r>
    <x v="83"/>
    <x v="79"/>
    <x v="6"/>
    <n v="8"/>
    <n v="9800"/>
    <n v="0.15"/>
    <n v="66640"/>
    <n v="50960"/>
    <n v="15680"/>
    <x v="2"/>
    <x v="11"/>
    <x v="1"/>
  </r>
  <r>
    <x v="84"/>
    <x v="80"/>
    <x v="3"/>
    <n v="4"/>
    <n v="13125"/>
    <n v="0.1"/>
    <n v="47250"/>
    <n v="34125"/>
    <n v="13125"/>
    <x v="3"/>
    <x v="10"/>
    <x v="0"/>
  </r>
  <r>
    <x v="85"/>
    <x v="81"/>
    <x v="8"/>
    <n v="6"/>
    <n v="735"/>
    <n v="0.1"/>
    <n v="3969"/>
    <n v="2866.5"/>
    <n v="1102.5"/>
    <x v="2"/>
    <x v="12"/>
    <x v="2"/>
  </r>
  <r>
    <x v="86"/>
    <x v="82"/>
    <x v="3"/>
    <n v="4"/>
    <n v="11875"/>
    <n v="0.1"/>
    <n v="42750"/>
    <n v="30875"/>
    <n v="11875"/>
    <x v="1"/>
    <x v="1"/>
    <x v="1"/>
  </r>
  <r>
    <x v="87"/>
    <x v="83"/>
    <x v="6"/>
    <n v="5"/>
    <n v="9800"/>
    <n v="0"/>
    <n v="49000"/>
    <n v="31850"/>
    <n v="17150"/>
    <x v="0"/>
    <x v="6"/>
    <x v="1"/>
  </r>
  <r>
    <x v="88"/>
    <x v="84"/>
    <x v="9"/>
    <n v="1"/>
    <n v="1500"/>
    <n v="0.2"/>
    <n v="1200"/>
    <n v="975"/>
    <n v="225"/>
    <x v="0"/>
    <x v="6"/>
    <x v="1"/>
  </r>
  <r>
    <x v="89"/>
    <x v="85"/>
    <x v="5"/>
    <n v="3"/>
    <n v="2600"/>
    <n v="0.15"/>
    <n v="6630"/>
    <n v="5070"/>
    <n v="1560"/>
    <x v="1"/>
    <x v="13"/>
    <x v="0"/>
  </r>
  <r>
    <x v="90"/>
    <x v="86"/>
    <x v="6"/>
    <n v="8"/>
    <n v="10290"/>
    <n v="0.1"/>
    <n v="74088"/>
    <n v="53508"/>
    <n v="20580"/>
    <x v="0"/>
    <x v="0"/>
    <x v="2"/>
  </r>
  <r>
    <x v="91"/>
    <x v="87"/>
    <x v="2"/>
    <n v="7"/>
    <n v="617.5"/>
    <n v="0.15"/>
    <n v="3674.125"/>
    <n v="2809.625"/>
    <n v="864.5"/>
    <x v="1"/>
    <x v="13"/>
    <x v="1"/>
  </r>
  <r>
    <x v="92"/>
    <x v="42"/>
    <x v="1"/>
    <n v="2"/>
    <n v="1800"/>
    <n v="0.05"/>
    <n v="3420"/>
    <n v="2340"/>
    <n v="1080"/>
    <x v="1"/>
    <x v="15"/>
    <x v="0"/>
  </r>
  <r>
    <x v="93"/>
    <x v="88"/>
    <x v="5"/>
    <n v="8"/>
    <n v="2730"/>
    <n v="0.15"/>
    <n v="18564"/>
    <n v="14196"/>
    <n v="4368"/>
    <x v="3"/>
    <x v="10"/>
    <x v="2"/>
  </r>
  <r>
    <x v="94"/>
    <x v="89"/>
    <x v="1"/>
    <n v="4"/>
    <n v="1710"/>
    <n v="0.05"/>
    <n v="6498"/>
    <n v="4446"/>
    <n v="2052"/>
    <x v="3"/>
    <x v="9"/>
    <x v="1"/>
  </r>
  <r>
    <x v="95"/>
    <x v="90"/>
    <x v="9"/>
    <n v="3"/>
    <n v="1425"/>
    <n v="0"/>
    <n v="4275"/>
    <n v="2778.75"/>
    <n v="1496.25"/>
    <x v="2"/>
    <x v="14"/>
    <x v="0"/>
  </r>
  <r>
    <x v="96"/>
    <x v="91"/>
    <x v="7"/>
    <n v="4"/>
    <n v="2090"/>
    <n v="0.1"/>
    <n v="7524"/>
    <n v="5434"/>
    <n v="2090"/>
    <x v="3"/>
    <x v="10"/>
    <x v="1"/>
  </r>
  <r>
    <x v="97"/>
    <x v="92"/>
    <x v="7"/>
    <n v="7"/>
    <n v="2200"/>
    <n v="0"/>
    <n v="15400"/>
    <n v="10010"/>
    <n v="5390"/>
    <x v="0"/>
    <x v="7"/>
    <x v="2"/>
  </r>
  <r>
    <x v="98"/>
    <x v="93"/>
    <x v="2"/>
    <n v="3"/>
    <n v="617.5"/>
    <n v="0.1"/>
    <n v="1667.25"/>
    <n v="1204.125"/>
    <n v="463.125"/>
    <x v="3"/>
    <x v="10"/>
    <x v="1"/>
  </r>
  <r>
    <x v="99"/>
    <x v="94"/>
    <x v="7"/>
    <n v="5"/>
    <n v="2310"/>
    <n v="0.2"/>
    <n v="9240"/>
    <n v="7507.5"/>
    <n v="1732.5"/>
    <x v="2"/>
    <x v="14"/>
    <x v="1"/>
  </r>
  <r>
    <x v="100"/>
    <x v="95"/>
    <x v="4"/>
    <n v="5"/>
    <n v="3200"/>
    <n v="0"/>
    <n v="16000"/>
    <n v="10400"/>
    <n v="5600"/>
    <x v="1"/>
    <x v="1"/>
    <x v="0"/>
  </r>
  <r>
    <x v="101"/>
    <x v="96"/>
    <x v="7"/>
    <n v="3"/>
    <n v="2090"/>
    <n v="0.15"/>
    <n v="5329.5"/>
    <n v="4075.5"/>
    <n v="1254"/>
    <x v="2"/>
    <x v="12"/>
    <x v="1"/>
  </r>
  <r>
    <x v="102"/>
    <x v="51"/>
    <x v="6"/>
    <n v="8"/>
    <n v="9310"/>
    <n v="0.1"/>
    <n v="67032"/>
    <n v="48412"/>
    <n v="18620"/>
    <x v="2"/>
    <x v="12"/>
    <x v="2"/>
  </r>
  <r>
    <x v="103"/>
    <x v="97"/>
    <x v="9"/>
    <n v="7"/>
    <n v="1500"/>
    <n v="0.15"/>
    <n v="8925"/>
    <n v="6825"/>
    <n v="2100"/>
    <x v="3"/>
    <x v="10"/>
    <x v="0"/>
  </r>
  <r>
    <x v="104"/>
    <x v="98"/>
    <x v="6"/>
    <n v="6"/>
    <n v="9310"/>
    <n v="0.1"/>
    <n v="50274"/>
    <n v="36309"/>
    <n v="13965"/>
    <x v="3"/>
    <x v="9"/>
    <x v="2"/>
  </r>
  <r>
    <x v="105"/>
    <x v="99"/>
    <x v="0"/>
    <n v="7"/>
    <n v="54600"/>
    <n v="0"/>
    <n v="382200"/>
    <n v="248430"/>
    <n v="133770"/>
    <x v="0"/>
    <x v="6"/>
    <x v="0"/>
  </r>
  <r>
    <x v="106"/>
    <x v="100"/>
    <x v="6"/>
    <n v="4"/>
    <n v="9310"/>
    <n v="0.1"/>
    <n v="33516"/>
    <n v="24206"/>
    <n v="9310"/>
    <x v="0"/>
    <x v="6"/>
    <x v="2"/>
  </r>
  <r>
    <x v="107"/>
    <x v="101"/>
    <x v="2"/>
    <n v="4"/>
    <n v="617.5"/>
    <n v="0.05"/>
    <n v="2346.5"/>
    <n v="1605.5"/>
    <n v="741"/>
    <x v="3"/>
    <x v="9"/>
    <x v="0"/>
  </r>
  <r>
    <x v="108"/>
    <x v="102"/>
    <x v="2"/>
    <n v="2"/>
    <n v="650"/>
    <n v="0.15"/>
    <n v="1105"/>
    <n v="845"/>
    <n v="260"/>
    <x v="1"/>
    <x v="1"/>
    <x v="2"/>
  </r>
  <r>
    <x v="109"/>
    <x v="103"/>
    <x v="5"/>
    <n v="7"/>
    <n v="2600"/>
    <n v="0.15"/>
    <n v="15470"/>
    <n v="11830"/>
    <n v="3640"/>
    <x v="2"/>
    <x v="2"/>
    <x v="2"/>
  </r>
  <r>
    <x v="110"/>
    <x v="104"/>
    <x v="4"/>
    <n v="3"/>
    <n v="3200"/>
    <n v="0"/>
    <n v="9600"/>
    <n v="6240"/>
    <n v="3360"/>
    <x v="3"/>
    <x v="10"/>
    <x v="2"/>
  </r>
  <r>
    <x v="111"/>
    <x v="17"/>
    <x v="7"/>
    <n v="5"/>
    <n v="2090"/>
    <n v="0.1"/>
    <n v="9405"/>
    <n v="6792.5"/>
    <n v="2612.5"/>
    <x v="2"/>
    <x v="2"/>
    <x v="2"/>
  </r>
  <r>
    <x v="112"/>
    <x v="105"/>
    <x v="8"/>
    <n v="7"/>
    <n v="700"/>
    <n v="0.15"/>
    <n v="4165"/>
    <n v="3185"/>
    <n v="980"/>
    <x v="3"/>
    <x v="3"/>
    <x v="0"/>
  </r>
  <r>
    <x v="113"/>
    <x v="106"/>
    <x v="1"/>
    <n v="4"/>
    <n v="1890"/>
    <n v="0.15"/>
    <n v="6426"/>
    <n v="4914"/>
    <n v="1512"/>
    <x v="1"/>
    <x v="5"/>
    <x v="0"/>
  </r>
  <r>
    <x v="114"/>
    <x v="25"/>
    <x v="4"/>
    <n v="3"/>
    <n v="3360"/>
    <n v="0.15"/>
    <n v="8568"/>
    <n v="6552"/>
    <n v="2016"/>
    <x v="1"/>
    <x v="1"/>
    <x v="0"/>
  </r>
  <r>
    <x v="115"/>
    <x v="107"/>
    <x v="2"/>
    <n v="2"/>
    <n v="682.5"/>
    <n v="0.2"/>
    <n v="1092"/>
    <n v="887.25"/>
    <n v="204.75"/>
    <x v="2"/>
    <x v="11"/>
    <x v="0"/>
  </r>
  <r>
    <x v="116"/>
    <x v="108"/>
    <x v="4"/>
    <n v="2"/>
    <n v="3200"/>
    <n v="0.15"/>
    <n v="5440"/>
    <n v="4160"/>
    <n v="1280"/>
    <x v="3"/>
    <x v="4"/>
    <x v="0"/>
  </r>
  <r>
    <x v="117"/>
    <x v="109"/>
    <x v="2"/>
    <n v="7"/>
    <n v="650"/>
    <n v="0.1"/>
    <n v="4095"/>
    <n v="2957.5"/>
    <n v="1137.5"/>
    <x v="2"/>
    <x v="11"/>
    <x v="0"/>
  </r>
  <r>
    <x v="118"/>
    <x v="110"/>
    <x v="3"/>
    <n v="4"/>
    <n v="12500"/>
    <n v="0"/>
    <n v="50000"/>
    <n v="32500"/>
    <n v="17500"/>
    <x v="2"/>
    <x v="11"/>
    <x v="0"/>
  </r>
  <r>
    <x v="119"/>
    <x v="36"/>
    <x v="6"/>
    <n v="5"/>
    <n v="9800"/>
    <n v="0"/>
    <n v="49000"/>
    <n v="31850"/>
    <n v="17150"/>
    <x v="1"/>
    <x v="5"/>
    <x v="1"/>
  </r>
  <r>
    <x v="120"/>
    <x v="111"/>
    <x v="8"/>
    <n v="7"/>
    <n v="700"/>
    <n v="0.05"/>
    <n v="4655"/>
    <n v="3185"/>
    <n v="1470"/>
    <x v="0"/>
    <x v="8"/>
    <x v="0"/>
  </r>
  <r>
    <x v="121"/>
    <x v="112"/>
    <x v="9"/>
    <n v="2"/>
    <n v="1500"/>
    <n v="0.2"/>
    <n v="2400"/>
    <n v="1950"/>
    <n v="450"/>
    <x v="2"/>
    <x v="2"/>
    <x v="2"/>
  </r>
  <r>
    <x v="122"/>
    <x v="113"/>
    <x v="3"/>
    <n v="5"/>
    <n v="13125"/>
    <n v="0.15"/>
    <n v="55781.25"/>
    <n v="42656.25"/>
    <n v="13125"/>
    <x v="3"/>
    <x v="9"/>
    <x v="2"/>
  </r>
  <r>
    <x v="123"/>
    <x v="114"/>
    <x v="5"/>
    <n v="2"/>
    <n v="2600"/>
    <n v="0.15"/>
    <n v="4420"/>
    <n v="3380"/>
    <n v="1040"/>
    <x v="3"/>
    <x v="4"/>
    <x v="0"/>
  </r>
  <r>
    <x v="124"/>
    <x v="115"/>
    <x v="7"/>
    <n v="5"/>
    <n v="2310"/>
    <n v="0.05"/>
    <n v="10972.5"/>
    <n v="7507.5"/>
    <n v="3465"/>
    <x v="2"/>
    <x v="14"/>
    <x v="1"/>
  </r>
  <r>
    <x v="125"/>
    <x v="116"/>
    <x v="4"/>
    <n v="5"/>
    <n v="3200"/>
    <n v="0.1"/>
    <n v="14400"/>
    <n v="10400"/>
    <n v="4000"/>
    <x v="1"/>
    <x v="15"/>
    <x v="2"/>
  </r>
  <r>
    <x v="126"/>
    <x v="117"/>
    <x v="1"/>
    <n v="8"/>
    <n v="1710"/>
    <n v="0.1"/>
    <n v="12312"/>
    <n v="8892"/>
    <n v="3420"/>
    <x v="0"/>
    <x v="6"/>
    <x v="1"/>
  </r>
  <r>
    <x v="127"/>
    <x v="118"/>
    <x v="1"/>
    <n v="3"/>
    <n v="1800"/>
    <n v="0"/>
    <n v="5400"/>
    <n v="3510"/>
    <n v="1890"/>
    <x v="1"/>
    <x v="5"/>
    <x v="2"/>
  </r>
  <r>
    <x v="128"/>
    <x v="119"/>
    <x v="1"/>
    <n v="3"/>
    <n v="1800"/>
    <n v="0"/>
    <n v="5400"/>
    <n v="3510"/>
    <n v="1890"/>
    <x v="3"/>
    <x v="4"/>
    <x v="0"/>
  </r>
  <r>
    <x v="129"/>
    <x v="120"/>
    <x v="9"/>
    <n v="3"/>
    <n v="1500"/>
    <n v="0.2"/>
    <n v="3600"/>
    <n v="2925"/>
    <n v="675"/>
    <x v="3"/>
    <x v="4"/>
    <x v="1"/>
  </r>
  <r>
    <x v="130"/>
    <x v="121"/>
    <x v="6"/>
    <n v="6"/>
    <n v="9800"/>
    <n v="0"/>
    <n v="58800"/>
    <n v="38220"/>
    <n v="20580"/>
    <x v="2"/>
    <x v="11"/>
    <x v="1"/>
  </r>
  <r>
    <x v="131"/>
    <x v="88"/>
    <x v="4"/>
    <n v="2"/>
    <n v="3200"/>
    <n v="0.15"/>
    <n v="5440"/>
    <n v="4160"/>
    <n v="1280"/>
    <x v="1"/>
    <x v="5"/>
    <x v="0"/>
  </r>
  <r>
    <x v="132"/>
    <x v="122"/>
    <x v="6"/>
    <n v="5"/>
    <n v="9800"/>
    <n v="0.2"/>
    <n v="39200"/>
    <n v="31850"/>
    <n v="7350"/>
    <x v="2"/>
    <x v="12"/>
    <x v="1"/>
  </r>
  <r>
    <x v="133"/>
    <x v="92"/>
    <x v="6"/>
    <n v="6"/>
    <n v="9310"/>
    <n v="0.2"/>
    <n v="44688"/>
    <n v="36309"/>
    <n v="8379"/>
    <x v="0"/>
    <x v="0"/>
    <x v="0"/>
  </r>
  <r>
    <x v="134"/>
    <x v="123"/>
    <x v="7"/>
    <n v="2"/>
    <n v="2310"/>
    <n v="0.05"/>
    <n v="4389"/>
    <n v="3003"/>
    <n v="1386"/>
    <x v="1"/>
    <x v="13"/>
    <x v="2"/>
  </r>
  <r>
    <x v="135"/>
    <x v="124"/>
    <x v="2"/>
    <n v="4"/>
    <n v="617.5"/>
    <n v="0.2"/>
    <n v="1976"/>
    <n v="1605.5"/>
    <n v="370.5"/>
    <x v="0"/>
    <x v="8"/>
    <x v="2"/>
  </r>
  <r>
    <x v="136"/>
    <x v="125"/>
    <x v="5"/>
    <n v="3"/>
    <n v="2730"/>
    <n v="0.15"/>
    <n v="6961.5"/>
    <n v="5323.5"/>
    <n v="1638"/>
    <x v="1"/>
    <x v="15"/>
    <x v="0"/>
  </r>
  <r>
    <x v="137"/>
    <x v="102"/>
    <x v="7"/>
    <n v="6"/>
    <n v="2090"/>
    <n v="0.05"/>
    <n v="11913"/>
    <n v="8151"/>
    <n v="3762"/>
    <x v="2"/>
    <x v="14"/>
    <x v="1"/>
  </r>
  <r>
    <x v="138"/>
    <x v="126"/>
    <x v="2"/>
    <n v="6"/>
    <n v="650"/>
    <n v="0"/>
    <n v="3900"/>
    <n v="2535"/>
    <n v="1365"/>
    <x v="2"/>
    <x v="12"/>
    <x v="1"/>
  </r>
  <r>
    <x v="139"/>
    <x v="127"/>
    <x v="6"/>
    <n v="4"/>
    <n v="9310"/>
    <n v="0.2"/>
    <n v="29792"/>
    <n v="24206"/>
    <n v="5586"/>
    <x v="1"/>
    <x v="13"/>
    <x v="2"/>
  </r>
  <r>
    <x v="140"/>
    <x v="128"/>
    <x v="9"/>
    <n v="2"/>
    <n v="1500"/>
    <n v="0.2"/>
    <n v="2400"/>
    <n v="1950"/>
    <n v="450"/>
    <x v="0"/>
    <x v="7"/>
    <x v="1"/>
  </r>
  <r>
    <x v="141"/>
    <x v="129"/>
    <x v="9"/>
    <n v="5"/>
    <n v="1425"/>
    <n v="0.05"/>
    <n v="6768.75"/>
    <n v="4631.25"/>
    <n v="2137.5"/>
    <x v="0"/>
    <x v="6"/>
    <x v="1"/>
  </r>
  <r>
    <x v="142"/>
    <x v="130"/>
    <x v="0"/>
    <n v="1"/>
    <n v="52000"/>
    <n v="0.1"/>
    <n v="46800"/>
    <n v="33800"/>
    <n v="13000"/>
    <x v="0"/>
    <x v="6"/>
    <x v="1"/>
  </r>
  <r>
    <x v="143"/>
    <x v="131"/>
    <x v="7"/>
    <n v="3"/>
    <n v="2090"/>
    <n v="0.15"/>
    <n v="5329.5"/>
    <n v="4075.5"/>
    <n v="1254"/>
    <x v="1"/>
    <x v="13"/>
    <x v="2"/>
  </r>
  <r>
    <x v="144"/>
    <x v="132"/>
    <x v="8"/>
    <n v="8"/>
    <n v="665"/>
    <n v="0.2"/>
    <n v="4256"/>
    <n v="3458"/>
    <n v="798"/>
    <x v="0"/>
    <x v="0"/>
    <x v="0"/>
  </r>
  <r>
    <x v="145"/>
    <x v="133"/>
    <x v="7"/>
    <n v="1"/>
    <n v="2310"/>
    <n v="0"/>
    <n v="2310"/>
    <n v="1501.5"/>
    <n v="808.5"/>
    <x v="2"/>
    <x v="14"/>
    <x v="2"/>
  </r>
  <r>
    <x v="146"/>
    <x v="46"/>
    <x v="6"/>
    <n v="2"/>
    <n v="10290"/>
    <n v="0"/>
    <n v="20580"/>
    <n v="13377"/>
    <n v="7203"/>
    <x v="3"/>
    <x v="3"/>
    <x v="1"/>
  </r>
  <r>
    <x v="147"/>
    <x v="134"/>
    <x v="7"/>
    <n v="7"/>
    <n v="2200"/>
    <n v="0.2"/>
    <n v="12320"/>
    <n v="10010"/>
    <n v="2310"/>
    <x v="3"/>
    <x v="10"/>
    <x v="0"/>
  </r>
  <r>
    <x v="148"/>
    <x v="135"/>
    <x v="2"/>
    <n v="4"/>
    <n v="617.5"/>
    <n v="0.15"/>
    <n v="2099.5"/>
    <n v="1605.5"/>
    <n v="494"/>
    <x v="2"/>
    <x v="2"/>
    <x v="2"/>
  </r>
  <r>
    <x v="149"/>
    <x v="136"/>
    <x v="6"/>
    <n v="7"/>
    <n v="10290"/>
    <n v="0"/>
    <n v="72030"/>
    <n v="46819.5"/>
    <n v="25210.5"/>
    <x v="3"/>
    <x v="10"/>
    <x v="2"/>
  </r>
  <r>
    <x v="150"/>
    <x v="137"/>
    <x v="8"/>
    <n v="8"/>
    <n v="700"/>
    <n v="0"/>
    <n v="5600"/>
    <n v="3640"/>
    <n v="1960"/>
    <x v="1"/>
    <x v="13"/>
    <x v="1"/>
  </r>
  <r>
    <x v="151"/>
    <x v="138"/>
    <x v="2"/>
    <n v="3"/>
    <n v="650"/>
    <n v="0.2"/>
    <n v="1560"/>
    <n v="1267.5"/>
    <n v="292.5"/>
    <x v="1"/>
    <x v="5"/>
    <x v="0"/>
  </r>
  <r>
    <x v="152"/>
    <x v="127"/>
    <x v="4"/>
    <n v="7"/>
    <n v="3200"/>
    <n v="0"/>
    <n v="22400"/>
    <n v="14560"/>
    <n v="7840"/>
    <x v="3"/>
    <x v="4"/>
    <x v="2"/>
  </r>
  <r>
    <x v="153"/>
    <x v="139"/>
    <x v="1"/>
    <n v="3"/>
    <n v="1800"/>
    <n v="0.15"/>
    <n v="4590"/>
    <n v="3510"/>
    <n v="1080"/>
    <x v="0"/>
    <x v="0"/>
    <x v="2"/>
  </r>
  <r>
    <x v="154"/>
    <x v="140"/>
    <x v="2"/>
    <n v="4"/>
    <n v="650"/>
    <n v="0.15"/>
    <n v="2210"/>
    <n v="1690"/>
    <n v="520"/>
    <x v="1"/>
    <x v="5"/>
    <x v="1"/>
  </r>
  <r>
    <x v="155"/>
    <x v="112"/>
    <x v="7"/>
    <n v="6"/>
    <n v="2200"/>
    <n v="0.1"/>
    <n v="11880"/>
    <n v="8580"/>
    <n v="3300"/>
    <x v="1"/>
    <x v="1"/>
    <x v="1"/>
  </r>
  <r>
    <x v="156"/>
    <x v="29"/>
    <x v="2"/>
    <n v="1"/>
    <n v="650"/>
    <n v="0"/>
    <n v="650"/>
    <n v="422.5"/>
    <n v="227.5"/>
    <x v="0"/>
    <x v="8"/>
    <x v="2"/>
  </r>
  <r>
    <x v="157"/>
    <x v="16"/>
    <x v="8"/>
    <n v="6"/>
    <n v="700"/>
    <n v="0.1"/>
    <n v="3780"/>
    <n v="2730"/>
    <n v="1050"/>
    <x v="3"/>
    <x v="9"/>
    <x v="1"/>
  </r>
  <r>
    <x v="158"/>
    <x v="141"/>
    <x v="9"/>
    <n v="2"/>
    <n v="1425"/>
    <n v="0.1"/>
    <n v="2565"/>
    <n v="1852.5"/>
    <n v="712.5"/>
    <x v="2"/>
    <x v="14"/>
    <x v="2"/>
  </r>
  <r>
    <x v="159"/>
    <x v="142"/>
    <x v="4"/>
    <n v="4"/>
    <n v="3200"/>
    <n v="0.2"/>
    <n v="10240"/>
    <n v="8320"/>
    <n v="1920"/>
    <x v="1"/>
    <x v="5"/>
    <x v="2"/>
  </r>
  <r>
    <x v="160"/>
    <x v="143"/>
    <x v="7"/>
    <n v="5"/>
    <n v="2310"/>
    <n v="0"/>
    <n v="11550"/>
    <n v="7507.5"/>
    <n v="4042.5"/>
    <x v="0"/>
    <x v="8"/>
    <x v="0"/>
  </r>
  <r>
    <x v="161"/>
    <x v="144"/>
    <x v="0"/>
    <n v="5"/>
    <n v="52000"/>
    <n v="0.05"/>
    <n v="247000"/>
    <n v="169000"/>
    <n v="78000"/>
    <x v="0"/>
    <x v="6"/>
    <x v="2"/>
  </r>
  <r>
    <x v="162"/>
    <x v="145"/>
    <x v="2"/>
    <n v="8"/>
    <n v="617.5"/>
    <n v="0.15"/>
    <n v="4199"/>
    <n v="3211"/>
    <n v="988"/>
    <x v="0"/>
    <x v="7"/>
    <x v="2"/>
  </r>
  <r>
    <x v="163"/>
    <x v="73"/>
    <x v="3"/>
    <n v="2"/>
    <n v="12500"/>
    <n v="0.15"/>
    <n v="21250"/>
    <n v="16250"/>
    <n v="5000"/>
    <x v="1"/>
    <x v="15"/>
    <x v="1"/>
  </r>
  <r>
    <x v="164"/>
    <x v="146"/>
    <x v="2"/>
    <n v="7"/>
    <n v="650"/>
    <n v="0.2"/>
    <n v="3640"/>
    <n v="2957.5"/>
    <n v="682.5"/>
    <x v="2"/>
    <x v="14"/>
    <x v="2"/>
  </r>
  <r>
    <x v="165"/>
    <x v="15"/>
    <x v="4"/>
    <n v="6"/>
    <n v="3040"/>
    <n v="0.05"/>
    <n v="17328"/>
    <n v="11856"/>
    <n v="5472"/>
    <x v="2"/>
    <x v="12"/>
    <x v="1"/>
  </r>
  <r>
    <x v="166"/>
    <x v="147"/>
    <x v="2"/>
    <n v="7"/>
    <n v="650"/>
    <n v="0.2"/>
    <n v="3640"/>
    <n v="2957.5"/>
    <n v="682.5"/>
    <x v="2"/>
    <x v="11"/>
    <x v="2"/>
  </r>
  <r>
    <x v="167"/>
    <x v="148"/>
    <x v="8"/>
    <n v="6"/>
    <n v="700"/>
    <n v="0.05"/>
    <n v="3990"/>
    <n v="2730"/>
    <n v="1260"/>
    <x v="1"/>
    <x v="13"/>
    <x v="0"/>
  </r>
  <r>
    <x v="168"/>
    <x v="149"/>
    <x v="3"/>
    <n v="6"/>
    <n v="12500"/>
    <n v="0.05"/>
    <n v="71250"/>
    <n v="48750"/>
    <n v="22500"/>
    <x v="0"/>
    <x v="0"/>
    <x v="1"/>
  </r>
  <r>
    <x v="169"/>
    <x v="150"/>
    <x v="3"/>
    <n v="3"/>
    <n v="12500"/>
    <n v="0"/>
    <n v="37500"/>
    <n v="24375"/>
    <n v="13125"/>
    <x v="0"/>
    <x v="8"/>
    <x v="2"/>
  </r>
  <r>
    <x v="170"/>
    <x v="132"/>
    <x v="1"/>
    <n v="6"/>
    <n v="1800"/>
    <n v="0.05"/>
    <n v="10260"/>
    <n v="7020"/>
    <n v="3240"/>
    <x v="2"/>
    <x v="11"/>
    <x v="2"/>
  </r>
  <r>
    <x v="171"/>
    <x v="142"/>
    <x v="7"/>
    <n v="1"/>
    <n v="2200"/>
    <n v="0.1"/>
    <n v="1980"/>
    <n v="1430"/>
    <n v="550"/>
    <x v="1"/>
    <x v="5"/>
    <x v="2"/>
  </r>
  <r>
    <x v="172"/>
    <x v="151"/>
    <x v="0"/>
    <n v="6"/>
    <n v="49400"/>
    <n v="0.1"/>
    <n v="266760"/>
    <n v="192660"/>
    <n v="74100"/>
    <x v="1"/>
    <x v="13"/>
    <x v="0"/>
  </r>
  <r>
    <x v="173"/>
    <x v="17"/>
    <x v="4"/>
    <n v="1"/>
    <n v="3360"/>
    <n v="0.15"/>
    <n v="2856"/>
    <n v="2184"/>
    <n v="672"/>
    <x v="0"/>
    <x v="6"/>
    <x v="0"/>
  </r>
  <r>
    <x v="174"/>
    <x v="152"/>
    <x v="5"/>
    <n v="1"/>
    <n v="2600"/>
    <n v="0.15"/>
    <n v="2210"/>
    <n v="1690"/>
    <n v="520"/>
    <x v="1"/>
    <x v="5"/>
    <x v="0"/>
  </r>
  <r>
    <x v="175"/>
    <x v="55"/>
    <x v="5"/>
    <n v="1"/>
    <n v="2600"/>
    <n v="0.05"/>
    <n v="2470"/>
    <n v="1690"/>
    <n v="780"/>
    <x v="2"/>
    <x v="14"/>
    <x v="0"/>
  </r>
  <r>
    <x v="176"/>
    <x v="34"/>
    <x v="1"/>
    <n v="6"/>
    <n v="1800"/>
    <n v="0.1"/>
    <n v="9720"/>
    <n v="7020"/>
    <n v="2700"/>
    <x v="3"/>
    <x v="10"/>
    <x v="2"/>
  </r>
  <r>
    <x v="177"/>
    <x v="153"/>
    <x v="1"/>
    <n v="6"/>
    <n v="1710"/>
    <n v="0"/>
    <n v="10260"/>
    <n v="6669"/>
    <n v="3591"/>
    <x v="3"/>
    <x v="9"/>
    <x v="0"/>
  </r>
  <r>
    <x v="178"/>
    <x v="154"/>
    <x v="7"/>
    <n v="3"/>
    <n v="2200"/>
    <n v="0.1"/>
    <n v="5940"/>
    <n v="4290"/>
    <n v="1650"/>
    <x v="1"/>
    <x v="1"/>
    <x v="2"/>
  </r>
  <r>
    <x v="179"/>
    <x v="148"/>
    <x v="4"/>
    <n v="2"/>
    <n v="3200"/>
    <n v="0.1"/>
    <n v="5760"/>
    <n v="4160"/>
    <n v="1600"/>
    <x v="2"/>
    <x v="12"/>
    <x v="1"/>
  </r>
  <r>
    <x v="180"/>
    <x v="155"/>
    <x v="2"/>
    <n v="6"/>
    <n v="682.5"/>
    <n v="0"/>
    <n v="4095"/>
    <n v="2661.75"/>
    <n v="1433.25"/>
    <x v="3"/>
    <x v="4"/>
    <x v="1"/>
  </r>
  <r>
    <x v="181"/>
    <x v="156"/>
    <x v="8"/>
    <n v="4"/>
    <n v="735"/>
    <n v="0.05"/>
    <n v="2793"/>
    <n v="1911"/>
    <n v="882"/>
    <x v="0"/>
    <x v="7"/>
    <x v="1"/>
  </r>
  <r>
    <x v="182"/>
    <x v="52"/>
    <x v="2"/>
    <n v="6"/>
    <n v="617.5"/>
    <n v="0.2"/>
    <n v="2964"/>
    <n v="2408.25"/>
    <n v="555.75"/>
    <x v="0"/>
    <x v="8"/>
    <x v="1"/>
  </r>
  <r>
    <x v="183"/>
    <x v="157"/>
    <x v="9"/>
    <n v="8"/>
    <n v="1500"/>
    <n v="0"/>
    <n v="12000"/>
    <n v="7800"/>
    <n v="4200"/>
    <x v="2"/>
    <x v="12"/>
    <x v="0"/>
  </r>
  <r>
    <x v="184"/>
    <x v="24"/>
    <x v="6"/>
    <n v="8"/>
    <n v="9800"/>
    <n v="0.05"/>
    <n v="74480"/>
    <n v="50960"/>
    <n v="23520"/>
    <x v="0"/>
    <x v="6"/>
    <x v="2"/>
  </r>
  <r>
    <x v="185"/>
    <x v="158"/>
    <x v="8"/>
    <n v="8"/>
    <n v="735"/>
    <n v="0.1"/>
    <n v="5292"/>
    <n v="3822"/>
    <n v="1470"/>
    <x v="2"/>
    <x v="14"/>
    <x v="1"/>
  </r>
  <r>
    <x v="186"/>
    <x v="159"/>
    <x v="1"/>
    <n v="5"/>
    <n v="1800"/>
    <n v="0"/>
    <n v="9000"/>
    <n v="5850"/>
    <n v="3150"/>
    <x v="2"/>
    <x v="12"/>
    <x v="0"/>
  </r>
  <r>
    <x v="187"/>
    <x v="44"/>
    <x v="5"/>
    <n v="5"/>
    <n v="2470"/>
    <n v="0"/>
    <n v="12350"/>
    <n v="8027.5"/>
    <n v="4322.5"/>
    <x v="0"/>
    <x v="6"/>
    <x v="2"/>
  </r>
  <r>
    <x v="188"/>
    <x v="160"/>
    <x v="9"/>
    <n v="2"/>
    <n v="1575"/>
    <n v="0.05"/>
    <n v="2992.5"/>
    <n v="2047.5"/>
    <n v="945"/>
    <x v="2"/>
    <x v="12"/>
    <x v="1"/>
  </r>
  <r>
    <x v="189"/>
    <x v="62"/>
    <x v="0"/>
    <n v="6"/>
    <n v="54600"/>
    <n v="0.05"/>
    <n v="311220"/>
    <n v="212940"/>
    <n v="98280"/>
    <x v="2"/>
    <x v="11"/>
    <x v="2"/>
  </r>
  <r>
    <x v="190"/>
    <x v="161"/>
    <x v="0"/>
    <n v="2"/>
    <n v="52000"/>
    <n v="0.1"/>
    <n v="93600"/>
    <n v="67600"/>
    <n v="26000"/>
    <x v="0"/>
    <x v="7"/>
    <x v="1"/>
  </r>
  <r>
    <x v="191"/>
    <x v="162"/>
    <x v="6"/>
    <n v="8"/>
    <n v="9800"/>
    <n v="0.15"/>
    <n v="66640"/>
    <n v="50960"/>
    <n v="15680"/>
    <x v="1"/>
    <x v="13"/>
    <x v="1"/>
  </r>
  <r>
    <x v="192"/>
    <x v="150"/>
    <x v="3"/>
    <n v="7"/>
    <n v="12500"/>
    <n v="0"/>
    <n v="87500"/>
    <n v="56875"/>
    <n v="30625"/>
    <x v="3"/>
    <x v="3"/>
    <x v="2"/>
  </r>
  <r>
    <x v="193"/>
    <x v="163"/>
    <x v="0"/>
    <n v="7"/>
    <n v="52000"/>
    <n v="0.2"/>
    <n v="291200"/>
    <n v="236600"/>
    <n v="54600"/>
    <x v="2"/>
    <x v="11"/>
    <x v="1"/>
  </r>
  <r>
    <x v="194"/>
    <x v="11"/>
    <x v="1"/>
    <n v="4"/>
    <n v="1710"/>
    <n v="0.05"/>
    <n v="6498"/>
    <n v="4446"/>
    <n v="2052"/>
    <x v="3"/>
    <x v="10"/>
    <x v="1"/>
  </r>
  <r>
    <x v="195"/>
    <x v="164"/>
    <x v="3"/>
    <n v="3"/>
    <n v="13125"/>
    <n v="0"/>
    <n v="39375"/>
    <n v="25593.75"/>
    <n v="13781.25"/>
    <x v="3"/>
    <x v="9"/>
    <x v="0"/>
  </r>
  <r>
    <x v="196"/>
    <x v="17"/>
    <x v="5"/>
    <n v="7"/>
    <n v="2470"/>
    <n v="0.15"/>
    <n v="14696.5"/>
    <n v="11238.5"/>
    <n v="3458"/>
    <x v="1"/>
    <x v="15"/>
    <x v="2"/>
  </r>
  <r>
    <x v="197"/>
    <x v="165"/>
    <x v="0"/>
    <n v="2"/>
    <n v="52000"/>
    <n v="0.1"/>
    <n v="93600"/>
    <n v="67600"/>
    <n v="26000"/>
    <x v="0"/>
    <x v="0"/>
    <x v="0"/>
  </r>
  <r>
    <x v="198"/>
    <x v="166"/>
    <x v="9"/>
    <n v="6"/>
    <n v="1425"/>
    <n v="0.2"/>
    <n v="6840"/>
    <n v="5557.5"/>
    <n v="1282.5"/>
    <x v="3"/>
    <x v="3"/>
    <x v="0"/>
  </r>
  <r>
    <x v="199"/>
    <x v="123"/>
    <x v="6"/>
    <n v="3"/>
    <n v="9800"/>
    <n v="0"/>
    <n v="29400"/>
    <n v="19110"/>
    <n v="10290"/>
    <x v="2"/>
    <x v="11"/>
    <x v="2"/>
  </r>
  <r>
    <x v="200"/>
    <x v="167"/>
    <x v="0"/>
    <n v="1"/>
    <n v="52000"/>
    <n v="0.1"/>
    <n v="46800"/>
    <n v="33800"/>
    <n v="13000"/>
    <x v="3"/>
    <x v="10"/>
    <x v="0"/>
  </r>
  <r>
    <x v="201"/>
    <x v="25"/>
    <x v="7"/>
    <n v="4"/>
    <n v="2090"/>
    <n v="0.1"/>
    <n v="7524"/>
    <n v="5434"/>
    <n v="2090"/>
    <x v="3"/>
    <x v="9"/>
    <x v="0"/>
  </r>
  <r>
    <x v="202"/>
    <x v="107"/>
    <x v="7"/>
    <n v="6"/>
    <n v="2090"/>
    <n v="0.15"/>
    <n v="10659"/>
    <n v="8151"/>
    <n v="2508"/>
    <x v="2"/>
    <x v="14"/>
    <x v="2"/>
  </r>
  <r>
    <x v="203"/>
    <x v="136"/>
    <x v="9"/>
    <n v="8"/>
    <n v="1575"/>
    <n v="0.1"/>
    <n v="11340"/>
    <n v="8190"/>
    <n v="3150"/>
    <x v="3"/>
    <x v="9"/>
    <x v="0"/>
  </r>
  <r>
    <x v="204"/>
    <x v="115"/>
    <x v="2"/>
    <n v="3"/>
    <n v="682.5"/>
    <n v="0.2"/>
    <n v="1638"/>
    <n v="1330.875"/>
    <n v="307.125"/>
    <x v="3"/>
    <x v="4"/>
    <x v="1"/>
  </r>
  <r>
    <x v="205"/>
    <x v="168"/>
    <x v="8"/>
    <n v="5"/>
    <n v="700"/>
    <n v="0.15"/>
    <n v="2975"/>
    <n v="2275"/>
    <n v="700"/>
    <x v="2"/>
    <x v="2"/>
    <x v="0"/>
  </r>
  <r>
    <x v="206"/>
    <x v="169"/>
    <x v="8"/>
    <n v="1"/>
    <n v="735"/>
    <n v="0.1"/>
    <n v="661.5"/>
    <n v="477.75"/>
    <n v="183.75"/>
    <x v="2"/>
    <x v="12"/>
    <x v="0"/>
  </r>
  <r>
    <x v="207"/>
    <x v="170"/>
    <x v="2"/>
    <n v="6"/>
    <n v="682.5"/>
    <n v="0.2"/>
    <n v="3276"/>
    <n v="2661.75"/>
    <n v="614.25"/>
    <x v="0"/>
    <x v="0"/>
    <x v="1"/>
  </r>
  <r>
    <x v="208"/>
    <x v="171"/>
    <x v="0"/>
    <n v="2"/>
    <n v="52000"/>
    <n v="0.05"/>
    <n v="98800"/>
    <n v="67600"/>
    <n v="31200"/>
    <x v="3"/>
    <x v="4"/>
    <x v="2"/>
  </r>
  <r>
    <x v="209"/>
    <x v="172"/>
    <x v="1"/>
    <n v="8"/>
    <n v="1800"/>
    <n v="0.1"/>
    <n v="12960"/>
    <n v="9360"/>
    <n v="3600"/>
    <x v="3"/>
    <x v="10"/>
    <x v="1"/>
  </r>
  <r>
    <x v="210"/>
    <x v="173"/>
    <x v="5"/>
    <n v="7"/>
    <n v="2600"/>
    <n v="0.1"/>
    <n v="16380"/>
    <n v="11830"/>
    <n v="4550"/>
    <x v="3"/>
    <x v="3"/>
    <x v="1"/>
  </r>
  <r>
    <x v="211"/>
    <x v="174"/>
    <x v="9"/>
    <n v="7"/>
    <n v="1575"/>
    <n v="0.2"/>
    <n v="8820"/>
    <n v="7166.25"/>
    <n v="1653.75"/>
    <x v="1"/>
    <x v="5"/>
    <x v="2"/>
  </r>
  <r>
    <x v="212"/>
    <x v="175"/>
    <x v="3"/>
    <n v="8"/>
    <n v="12500"/>
    <n v="0.05"/>
    <n v="95000"/>
    <n v="65000"/>
    <n v="30000"/>
    <x v="1"/>
    <x v="1"/>
    <x v="1"/>
  </r>
  <r>
    <x v="213"/>
    <x v="151"/>
    <x v="9"/>
    <n v="2"/>
    <n v="1575"/>
    <n v="0.1"/>
    <n v="2835"/>
    <n v="2047.5"/>
    <n v="787.5"/>
    <x v="3"/>
    <x v="9"/>
    <x v="0"/>
  </r>
  <r>
    <x v="214"/>
    <x v="176"/>
    <x v="7"/>
    <n v="3"/>
    <n v="2200"/>
    <n v="0.1"/>
    <n v="5940"/>
    <n v="4290"/>
    <n v="1650"/>
    <x v="0"/>
    <x v="0"/>
    <x v="1"/>
  </r>
  <r>
    <x v="215"/>
    <x v="177"/>
    <x v="3"/>
    <n v="1"/>
    <n v="13125"/>
    <n v="0.1"/>
    <n v="11812.5"/>
    <n v="8531.25"/>
    <n v="3281.25"/>
    <x v="3"/>
    <x v="10"/>
    <x v="0"/>
  </r>
  <r>
    <x v="216"/>
    <x v="178"/>
    <x v="1"/>
    <n v="2"/>
    <n v="1710"/>
    <n v="0.1"/>
    <n v="3078"/>
    <n v="2223"/>
    <n v="855"/>
    <x v="2"/>
    <x v="14"/>
    <x v="0"/>
  </r>
  <r>
    <x v="217"/>
    <x v="26"/>
    <x v="4"/>
    <n v="3"/>
    <n v="3040"/>
    <n v="0.1"/>
    <n v="8208"/>
    <n v="5928"/>
    <n v="2280"/>
    <x v="1"/>
    <x v="15"/>
    <x v="2"/>
  </r>
  <r>
    <x v="218"/>
    <x v="179"/>
    <x v="8"/>
    <n v="3"/>
    <n v="700"/>
    <n v="0.05"/>
    <n v="1995"/>
    <n v="1365"/>
    <n v="630"/>
    <x v="2"/>
    <x v="11"/>
    <x v="1"/>
  </r>
  <r>
    <x v="219"/>
    <x v="180"/>
    <x v="9"/>
    <n v="3"/>
    <n v="1500"/>
    <n v="0.05"/>
    <n v="4275"/>
    <n v="2925"/>
    <n v="1350"/>
    <x v="3"/>
    <x v="3"/>
    <x v="2"/>
  </r>
  <r>
    <x v="220"/>
    <x v="181"/>
    <x v="7"/>
    <n v="5"/>
    <n v="2090"/>
    <n v="0.05"/>
    <n v="9927.5"/>
    <n v="6792.5"/>
    <n v="3135"/>
    <x v="3"/>
    <x v="3"/>
    <x v="0"/>
  </r>
  <r>
    <x v="221"/>
    <x v="182"/>
    <x v="1"/>
    <n v="3"/>
    <n v="1710"/>
    <n v="0.2"/>
    <n v="4104"/>
    <n v="3334.5"/>
    <n v="769.5"/>
    <x v="0"/>
    <x v="7"/>
    <x v="0"/>
  </r>
  <r>
    <x v="222"/>
    <x v="183"/>
    <x v="1"/>
    <n v="1"/>
    <n v="1710"/>
    <n v="0"/>
    <n v="1710"/>
    <n v="1111.5"/>
    <n v="598.5"/>
    <x v="1"/>
    <x v="5"/>
    <x v="0"/>
  </r>
  <r>
    <x v="223"/>
    <x v="184"/>
    <x v="1"/>
    <n v="1"/>
    <n v="1890"/>
    <n v="0.15"/>
    <n v="1606.5"/>
    <n v="1228.5"/>
    <n v="378"/>
    <x v="3"/>
    <x v="4"/>
    <x v="2"/>
  </r>
  <r>
    <x v="224"/>
    <x v="185"/>
    <x v="4"/>
    <n v="8"/>
    <n v="3200"/>
    <n v="0"/>
    <n v="25600"/>
    <n v="16640"/>
    <n v="8960"/>
    <x v="1"/>
    <x v="1"/>
    <x v="2"/>
  </r>
  <r>
    <x v="225"/>
    <x v="120"/>
    <x v="6"/>
    <n v="4"/>
    <n v="10290"/>
    <n v="0.1"/>
    <n v="37044"/>
    <n v="26754"/>
    <n v="10290"/>
    <x v="0"/>
    <x v="6"/>
    <x v="0"/>
  </r>
  <r>
    <x v="226"/>
    <x v="186"/>
    <x v="8"/>
    <n v="3"/>
    <n v="735"/>
    <n v="0.1"/>
    <n v="1984.5"/>
    <n v="1433.25"/>
    <n v="551.25"/>
    <x v="1"/>
    <x v="5"/>
    <x v="1"/>
  </r>
  <r>
    <x v="227"/>
    <x v="187"/>
    <x v="2"/>
    <n v="8"/>
    <n v="650"/>
    <n v="0.05"/>
    <n v="4940"/>
    <n v="3380"/>
    <n v="1560"/>
    <x v="0"/>
    <x v="0"/>
    <x v="1"/>
  </r>
  <r>
    <x v="228"/>
    <x v="176"/>
    <x v="4"/>
    <n v="4"/>
    <n v="3360"/>
    <n v="0.05"/>
    <n v="12768"/>
    <n v="8736"/>
    <n v="4032"/>
    <x v="3"/>
    <x v="4"/>
    <x v="1"/>
  </r>
  <r>
    <x v="229"/>
    <x v="188"/>
    <x v="6"/>
    <n v="8"/>
    <n v="10290"/>
    <n v="0.1"/>
    <n v="74088"/>
    <n v="53508"/>
    <n v="20580"/>
    <x v="2"/>
    <x v="11"/>
    <x v="1"/>
  </r>
  <r>
    <x v="230"/>
    <x v="189"/>
    <x v="5"/>
    <n v="4"/>
    <n v="2730"/>
    <n v="0.05"/>
    <n v="10374"/>
    <n v="7098"/>
    <n v="3276"/>
    <x v="3"/>
    <x v="9"/>
    <x v="1"/>
  </r>
  <r>
    <x v="231"/>
    <x v="39"/>
    <x v="6"/>
    <n v="5"/>
    <n v="10290"/>
    <n v="0.2"/>
    <n v="41160"/>
    <n v="33442.5"/>
    <n v="7717.5"/>
    <x v="1"/>
    <x v="13"/>
    <x v="2"/>
  </r>
  <r>
    <x v="232"/>
    <x v="190"/>
    <x v="7"/>
    <n v="7"/>
    <n v="2200"/>
    <n v="0.1"/>
    <n v="13860"/>
    <n v="10010"/>
    <n v="3850"/>
    <x v="1"/>
    <x v="15"/>
    <x v="1"/>
  </r>
  <r>
    <x v="233"/>
    <x v="57"/>
    <x v="8"/>
    <n v="2"/>
    <n v="700"/>
    <n v="0.15"/>
    <n v="1190"/>
    <n v="910"/>
    <n v="280"/>
    <x v="2"/>
    <x v="12"/>
    <x v="0"/>
  </r>
  <r>
    <x v="234"/>
    <x v="191"/>
    <x v="9"/>
    <n v="7"/>
    <n v="1425"/>
    <n v="0.1"/>
    <n v="8977.5"/>
    <n v="6483.75"/>
    <n v="2493.75"/>
    <x v="3"/>
    <x v="4"/>
    <x v="1"/>
  </r>
  <r>
    <x v="235"/>
    <x v="72"/>
    <x v="1"/>
    <n v="1"/>
    <n v="1890"/>
    <n v="0"/>
    <n v="1890"/>
    <n v="1228.5"/>
    <n v="661.5"/>
    <x v="1"/>
    <x v="1"/>
    <x v="0"/>
  </r>
  <r>
    <x v="236"/>
    <x v="192"/>
    <x v="6"/>
    <n v="3"/>
    <n v="10290"/>
    <n v="0.2"/>
    <n v="24696"/>
    <n v="20065.5"/>
    <n v="4630.5"/>
    <x v="0"/>
    <x v="6"/>
    <x v="0"/>
  </r>
  <r>
    <x v="237"/>
    <x v="186"/>
    <x v="9"/>
    <n v="5"/>
    <n v="1575"/>
    <n v="0.2"/>
    <n v="6300"/>
    <n v="5118.75"/>
    <n v="1181.25"/>
    <x v="3"/>
    <x v="10"/>
    <x v="0"/>
  </r>
  <r>
    <x v="238"/>
    <x v="38"/>
    <x v="6"/>
    <n v="6"/>
    <n v="9310"/>
    <n v="0.1"/>
    <n v="50274"/>
    <n v="36309"/>
    <n v="13965"/>
    <x v="1"/>
    <x v="15"/>
    <x v="0"/>
  </r>
  <r>
    <x v="239"/>
    <x v="193"/>
    <x v="0"/>
    <n v="5"/>
    <n v="54600"/>
    <n v="0.2"/>
    <n v="218400"/>
    <n v="177450"/>
    <n v="40950"/>
    <x v="0"/>
    <x v="0"/>
    <x v="0"/>
  </r>
  <r>
    <x v="240"/>
    <x v="194"/>
    <x v="9"/>
    <n v="3"/>
    <n v="1575"/>
    <n v="0.05"/>
    <n v="4488.75"/>
    <n v="3071.25"/>
    <n v="1417.5"/>
    <x v="1"/>
    <x v="13"/>
    <x v="1"/>
  </r>
  <r>
    <x v="241"/>
    <x v="195"/>
    <x v="6"/>
    <n v="7"/>
    <n v="9800"/>
    <n v="0.05"/>
    <n v="65170"/>
    <n v="44590"/>
    <n v="20580"/>
    <x v="2"/>
    <x v="2"/>
    <x v="2"/>
  </r>
  <r>
    <x v="242"/>
    <x v="196"/>
    <x v="1"/>
    <n v="1"/>
    <n v="1890"/>
    <n v="0.05"/>
    <n v="1795.5"/>
    <n v="1228.5"/>
    <n v="567"/>
    <x v="0"/>
    <x v="6"/>
    <x v="0"/>
  </r>
  <r>
    <x v="243"/>
    <x v="87"/>
    <x v="5"/>
    <n v="6"/>
    <n v="2730"/>
    <n v="0.05"/>
    <n v="15561"/>
    <n v="10647"/>
    <n v="4914"/>
    <x v="2"/>
    <x v="12"/>
    <x v="0"/>
  </r>
  <r>
    <x v="244"/>
    <x v="197"/>
    <x v="7"/>
    <n v="4"/>
    <n v="2310"/>
    <n v="0.05"/>
    <n v="8778"/>
    <n v="6006"/>
    <n v="2772"/>
    <x v="3"/>
    <x v="4"/>
    <x v="1"/>
  </r>
  <r>
    <x v="245"/>
    <x v="198"/>
    <x v="7"/>
    <n v="8"/>
    <n v="2200"/>
    <n v="0.1"/>
    <n v="15840"/>
    <n v="11440"/>
    <n v="4400"/>
    <x v="2"/>
    <x v="12"/>
    <x v="0"/>
  </r>
  <r>
    <x v="246"/>
    <x v="199"/>
    <x v="7"/>
    <n v="7"/>
    <n v="2090"/>
    <n v="0.15"/>
    <n v="12435.5"/>
    <n v="9509.5"/>
    <n v="2926"/>
    <x v="3"/>
    <x v="3"/>
    <x v="2"/>
  </r>
  <r>
    <x v="247"/>
    <x v="200"/>
    <x v="7"/>
    <n v="6"/>
    <n v="2090"/>
    <n v="0.15"/>
    <n v="10659"/>
    <n v="8151"/>
    <n v="2508"/>
    <x v="3"/>
    <x v="10"/>
    <x v="1"/>
  </r>
  <r>
    <x v="248"/>
    <x v="167"/>
    <x v="5"/>
    <n v="5"/>
    <n v="2600"/>
    <n v="0.05"/>
    <n v="12350"/>
    <n v="8450"/>
    <n v="3900"/>
    <x v="1"/>
    <x v="1"/>
    <x v="1"/>
  </r>
  <r>
    <x v="249"/>
    <x v="67"/>
    <x v="5"/>
    <n v="4"/>
    <n v="2600"/>
    <n v="0"/>
    <n v="10400"/>
    <n v="6760"/>
    <n v="3640"/>
    <x v="1"/>
    <x v="15"/>
    <x v="2"/>
  </r>
  <r>
    <x v="250"/>
    <x v="201"/>
    <x v="2"/>
    <n v="1"/>
    <n v="650"/>
    <n v="0.2"/>
    <n v="520"/>
    <n v="422.5"/>
    <n v="97.5"/>
    <x v="0"/>
    <x v="8"/>
    <x v="0"/>
  </r>
  <r>
    <x v="251"/>
    <x v="152"/>
    <x v="6"/>
    <n v="5"/>
    <n v="9800"/>
    <n v="0.1"/>
    <n v="44100"/>
    <n v="31850"/>
    <n v="12250"/>
    <x v="3"/>
    <x v="9"/>
    <x v="1"/>
  </r>
  <r>
    <x v="252"/>
    <x v="202"/>
    <x v="5"/>
    <n v="3"/>
    <n v="2470"/>
    <n v="0.15"/>
    <n v="6298.5"/>
    <n v="4816.5"/>
    <n v="1482"/>
    <x v="0"/>
    <x v="0"/>
    <x v="2"/>
  </r>
  <r>
    <x v="253"/>
    <x v="203"/>
    <x v="9"/>
    <n v="1"/>
    <n v="1500"/>
    <n v="0"/>
    <n v="1500"/>
    <n v="975"/>
    <n v="525"/>
    <x v="3"/>
    <x v="9"/>
    <x v="2"/>
  </r>
  <r>
    <x v="254"/>
    <x v="86"/>
    <x v="6"/>
    <n v="3"/>
    <n v="10290"/>
    <n v="0.2"/>
    <n v="24696"/>
    <n v="20065.5"/>
    <n v="4630.5"/>
    <x v="2"/>
    <x v="12"/>
    <x v="1"/>
  </r>
  <r>
    <x v="255"/>
    <x v="204"/>
    <x v="8"/>
    <n v="8"/>
    <n v="700"/>
    <n v="0.1"/>
    <n v="5040"/>
    <n v="3640"/>
    <n v="1400"/>
    <x v="0"/>
    <x v="0"/>
    <x v="0"/>
  </r>
  <r>
    <x v="256"/>
    <x v="183"/>
    <x v="7"/>
    <n v="3"/>
    <n v="2200"/>
    <n v="0.2"/>
    <n v="5280"/>
    <n v="4290"/>
    <n v="990"/>
    <x v="2"/>
    <x v="14"/>
    <x v="0"/>
  </r>
  <r>
    <x v="257"/>
    <x v="145"/>
    <x v="2"/>
    <n v="2"/>
    <n v="682.5"/>
    <n v="0.05"/>
    <n v="1296.75"/>
    <n v="887.25"/>
    <n v="409.5"/>
    <x v="0"/>
    <x v="8"/>
    <x v="2"/>
  </r>
  <r>
    <x v="258"/>
    <x v="27"/>
    <x v="0"/>
    <n v="7"/>
    <n v="52000"/>
    <n v="0.05"/>
    <n v="345800"/>
    <n v="236600"/>
    <n v="109200"/>
    <x v="2"/>
    <x v="12"/>
    <x v="2"/>
  </r>
  <r>
    <x v="259"/>
    <x v="205"/>
    <x v="1"/>
    <n v="5"/>
    <n v="1710"/>
    <n v="0.1"/>
    <n v="7695"/>
    <n v="5557.5"/>
    <n v="2137.5"/>
    <x v="0"/>
    <x v="0"/>
    <x v="0"/>
  </r>
  <r>
    <x v="260"/>
    <x v="191"/>
    <x v="6"/>
    <n v="3"/>
    <n v="9800"/>
    <n v="0.15"/>
    <n v="24990"/>
    <n v="19110"/>
    <n v="5880"/>
    <x v="3"/>
    <x v="9"/>
    <x v="0"/>
  </r>
  <r>
    <x v="261"/>
    <x v="52"/>
    <x v="8"/>
    <n v="4"/>
    <n v="700"/>
    <n v="0.05"/>
    <n v="2660"/>
    <n v="1820"/>
    <n v="840"/>
    <x v="2"/>
    <x v="2"/>
    <x v="2"/>
  </r>
  <r>
    <x v="262"/>
    <x v="206"/>
    <x v="4"/>
    <n v="4"/>
    <n v="3360"/>
    <n v="0.05"/>
    <n v="12768"/>
    <n v="8736"/>
    <n v="4032"/>
    <x v="1"/>
    <x v="15"/>
    <x v="0"/>
  </r>
  <r>
    <x v="263"/>
    <x v="6"/>
    <x v="2"/>
    <n v="1"/>
    <n v="617.5"/>
    <n v="0.2"/>
    <n v="494"/>
    <n v="401.375"/>
    <n v="92.625"/>
    <x v="0"/>
    <x v="7"/>
    <x v="1"/>
  </r>
  <r>
    <x v="264"/>
    <x v="145"/>
    <x v="5"/>
    <n v="2"/>
    <n v="2730"/>
    <n v="0.05"/>
    <n v="5187"/>
    <n v="3549"/>
    <n v="1638"/>
    <x v="2"/>
    <x v="11"/>
    <x v="0"/>
  </r>
  <r>
    <x v="265"/>
    <x v="175"/>
    <x v="0"/>
    <n v="3"/>
    <n v="54600"/>
    <n v="0.2"/>
    <n v="131040"/>
    <n v="106470"/>
    <n v="24570"/>
    <x v="2"/>
    <x v="14"/>
    <x v="0"/>
  </r>
  <r>
    <x v="266"/>
    <x v="207"/>
    <x v="5"/>
    <n v="5"/>
    <n v="2730"/>
    <n v="0"/>
    <n v="13650"/>
    <n v="8872.5"/>
    <n v="4777.5"/>
    <x v="2"/>
    <x v="12"/>
    <x v="1"/>
  </r>
  <r>
    <x v="267"/>
    <x v="71"/>
    <x v="1"/>
    <n v="1"/>
    <n v="1710"/>
    <n v="0.15"/>
    <n v="1453.5"/>
    <n v="1111.5"/>
    <n v="342"/>
    <x v="3"/>
    <x v="9"/>
    <x v="0"/>
  </r>
  <r>
    <x v="268"/>
    <x v="89"/>
    <x v="2"/>
    <n v="1"/>
    <n v="682.5"/>
    <n v="0.1"/>
    <n v="614.25"/>
    <n v="443.625"/>
    <n v="170.625"/>
    <x v="2"/>
    <x v="2"/>
    <x v="1"/>
  </r>
  <r>
    <x v="269"/>
    <x v="208"/>
    <x v="8"/>
    <n v="8"/>
    <n v="735"/>
    <n v="0.15"/>
    <n v="4998"/>
    <n v="3822"/>
    <n v="1176"/>
    <x v="2"/>
    <x v="11"/>
    <x v="0"/>
  </r>
  <r>
    <x v="270"/>
    <x v="59"/>
    <x v="8"/>
    <n v="3"/>
    <n v="665"/>
    <n v="0.2"/>
    <n v="1596"/>
    <n v="1296.75"/>
    <n v="299.25"/>
    <x v="2"/>
    <x v="2"/>
    <x v="0"/>
  </r>
  <r>
    <x v="271"/>
    <x v="209"/>
    <x v="0"/>
    <n v="5"/>
    <n v="49400"/>
    <n v="0.15"/>
    <n v="209950"/>
    <n v="160550"/>
    <n v="49400"/>
    <x v="2"/>
    <x v="14"/>
    <x v="1"/>
  </r>
  <r>
    <x v="272"/>
    <x v="210"/>
    <x v="6"/>
    <n v="3"/>
    <n v="9800"/>
    <n v="0.1"/>
    <n v="26460"/>
    <n v="19110"/>
    <n v="7350"/>
    <x v="0"/>
    <x v="0"/>
    <x v="1"/>
  </r>
  <r>
    <x v="273"/>
    <x v="211"/>
    <x v="1"/>
    <n v="4"/>
    <n v="1710"/>
    <n v="0.05"/>
    <n v="6498"/>
    <n v="4446"/>
    <n v="2052"/>
    <x v="1"/>
    <x v="13"/>
    <x v="0"/>
  </r>
  <r>
    <x v="274"/>
    <x v="119"/>
    <x v="6"/>
    <n v="4"/>
    <n v="9310"/>
    <n v="0"/>
    <n v="37240"/>
    <n v="24206"/>
    <n v="13034"/>
    <x v="2"/>
    <x v="14"/>
    <x v="1"/>
  </r>
  <r>
    <x v="275"/>
    <x v="212"/>
    <x v="0"/>
    <n v="5"/>
    <n v="52000"/>
    <n v="0.05"/>
    <n v="247000"/>
    <n v="169000"/>
    <n v="78000"/>
    <x v="3"/>
    <x v="4"/>
    <x v="1"/>
  </r>
  <r>
    <x v="276"/>
    <x v="205"/>
    <x v="9"/>
    <n v="7"/>
    <n v="1500"/>
    <n v="0.1"/>
    <n v="9450"/>
    <n v="6825"/>
    <n v="2625"/>
    <x v="3"/>
    <x v="9"/>
    <x v="0"/>
  </r>
  <r>
    <x v="277"/>
    <x v="213"/>
    <x v="4"/>
    <n v="1"/>
    <n v="3360"/>
    <n v="0.1"/>
    <n v="3024"/>
    <n v="2184"/>
    <n v="840"/>
    <x v="2"/>
    <x v="12"/>
    <x v="0"/>
  </r>
  <r>
    <x v="278"/>
    <x v="214"/>
    <x v="4"/>
    <n v="5"/>
    <n v="3200"/>
    <n v="0.15"/>
    <n v="13600"/>
    <n v="10400"/>
    <n v="3200"/>
    <x v="0"/>
    <x v="8"/>
    <x v="1"/>
  </r>
  <r>
    <x v="279"/>
    <x v="22"/>
    <x v="7"/>
    <n v="8"/>
    <n v="2200"/>
    <n v="0"/>
    <n v="17600"/>
    <n v="11440"/>
    <n v="6160"/>
    <x v="2"/>
    <x v="14"/>
    <x v="0"/>
  </r>
  <r>
    <x v="280"/>
    <x v="215"/>
    <x v="9"/>
    <n v="4"/>
    <n v="1575"/>
    <n v="0.1"/>
    <n v="5670"/>
    <n v="4095"/>
    <n v="1575"/>
    <x v="0"/>
    <x v="6"/>
    <x v="0"/>
  </r>
  <r>
    <x v="281"/>
    <x v="216"/>
    <x v="6"/>
    <n v="2"/>
    <n v="9800"/>
    <n v="0.2"/>
    <n v="15680"/>
    <n v="12740"/>
    <n v="2940"/>
    <x v="0"/>
    <x v="0"/>
    <x v="2"/>
  </r>
  <r>
    <x v="282"/>
    <x v="217"/>
    <x v="1"/>
    <n v="2"/>
    <n v="1710"/>
    <n v="0.05"/>
    <n v="3249"/>
    <n v="2223"/>
    <n v="1026"/>
    <x v="0"/>
    <x v="8"/>
    <x v="1"/>
  </r>
  <r>
    <x v="283"/>
    <x v="166"/>
    <x v="7"/>
    <n v="4"/>
    <n v="2090"/>
    <n v="0.05"/>
    <n v="7942"/>
    <n v="5434"/>
    <n v="2508"/>
    <x v="1"/>
    <x v="15"/>
    <x v="1"/>
  </r>
  <r>
    <x v="284"/>
    <x v="218"/>
    <x v="4"/>
    <n v="6"/>
    <n v="3200"/>
    <n v="0.1"/>
    <n v="17280"/>
    <n v="12480"/>
    <n v="4800"/>
    <x v="2"/>
    <x v="14"/>
    <x v="0"/>
  </r>
  <r>
    <x v="285"/>
    <x v="219"/>
    <x v="7"/>
    <n v="6"/>
    <n v="2200"/>
    <n v="0.2"/>
    <n v="10560"/>
    <n v="8580"/>
    <n v="1980"/>
    <x v="2"/>
    <x v="14"/>
    <x v="1"/>
  </r>
  <r>
    <x v="286"/>
    <x v="220"/>
    <x v="8"/>
    <n v="6"/>
    <n v="700"/>
    <n v="0.1"/>
    <n v="3780"/>
    <n v="2730"/>
    <n v="1050"/>
    <x v="2"/>
    <x v="11"/>
    <x v="0"/>
  </r>
  <r>
    <x v="287"/>
    <x v="221"/>
    <x v="9"/>
    <n v="5"/>
    <n v="1425"/>
    <n v="0.2"/>
    <n v="5700"/>
    <n v="4631.25"/>
    <n v="1068.75"/>
    <x v="2"/>
    <x v="12"/>
    <x v="1"/>
  </r>
  <r>
    <x v="288"/>
    <x v="222"/>
    <x v="8"/>
    <n v="7"/>
    <n v="700"/>
    <n v="0.2"/>
    <n v="3920"/>
    <n v="3185"/>
    <n v="735"/>
    <x v="0"/>
    <x v="8"/>
    <x v="0"/>
  </r>
  <r>
    <x v="289"/>
    <x v="183"/>
    <x v="7"/>
    <n v="8"/>
    <n v="2310"/>
    <n v="0.15"/>
    <n v="15708"/>
    <n v="12012"/>
    <n v="3696"/>
    <x v="0"/>
    <x v="6"/>
    <x v="1"/>
  </r>
  <r>
    <x v="290"/>
    <x v="223"/>
    <x v="5"/>
    <n v="3"/>
    <n v="2730"/>
    <n v="0.2"/>
    <n v="6552"/>
    <n v="5323.5"/>
    <n v="1228.5"/>
    <x v="1"/>
    <x v="13"/>
    <x v="1"/>
  </r>
  <r>
    <x v="291"/>
    <x v="224"/>
    <x v="0"/>
    <n v="3"/>
    <n v="54600"/>
    <n v="0.05"/>
    <n v="155610"/>
    <n v="106470"/>
    <n v="49140"/>
    <x v="1"/>
    <x v="1"/>
    <x v="1"/>
  </r>
  <r>
    <x v="292"/>
    <x v="71"/>
    <x v="5"/>
    <n v="6"/>
    <n v="2730"/>
    <n v="0"/>
    <n v="16380"/>
    <n v="10647"/>
    <n v="5733"/>
    <x v="2"/>
    <x v="14"/>
    <x v="1"/>
  </r>
  <r>
    <x v="293"/>
    <x v="225"/>
    <x v="5"/>
    <n v="1"/>
    <n v="2730"/>
    <n v="0"/>
    <n v="2730"/>
    <n v="1774.5"/>
    <n v="955.5"/>
    <x v="3"/>
    <x v="4"/>
    <x v="1"/>
  </r>
  <r>
    <x v="294"/>
    <x v="226"/>
    <x v="4"/>
    <n v="2"/>
    <n v="3200"/>
    <n v="0"/>
    <n v="6400"/>
    <n v="4160"/>
    <n v="2240"/>
    <x v="0"/>
    <x v="7"/>
    <x v="1"/>
  </r>
  <r>
    <x v="295"/>
    <x v="155"/>
    <x v="7"/>
    <n v="5"/>
    <n v="2200"/>
    <n v="0.15"/>
    <n v="9350"/>
    <n v="7150"/>
    <n v="2200"/>
    <x v="1"/>
    <x v="5"/>
    <x v="2"/>
  </r>
  <r>
    <x v="296"/>
    <x v="146"/>
    <x v="1"/>
    <n v="4"/>
    <n v="1800"/>
    <n v="0.1"/>
    <n v="6480"/>
    <n v="4680"/>
    <n v="1800"/>
    <x v="1"/>
    <x v="13"/>
    <x v="1"/>
  </r>
  <r>
    <x v="297"/>
    <x v="227"/>
    <x v="4"/>
    <n v="8"/>
    <n v="3360"/>
    <n v="0"/>
    <n v="26880"/>
    <n v="17472"/>
    <n v="9408"/>
    <x v="1"/>
    <x v="1"/>
    <x v="1"/>
  </r>
  <r>
    <x v="298"/>
    <x v="11"/>
    <x v="4"/>
    <n v="2"/>
    <n v="3200"/>
    <n v="0.2"/>
    <n v="5120"/>
    <n v="4160"/>
    <n v="960"/>
    <x v="1"/>
    <x v="1"/>
    <x v="1"/>
  </r>
  <r>
    <x v="299"/>
    <x v="20"/>
    <x v="7"/>
    <n v="2"/>
    <n v="2090"/>
    <n v="0.1"/>
    <n v="3762"/>
    <n v="2717"/>
    <n v="1045"/>
    <x v="1"/>
    <x v="1"/>
    <x v="2"/>
  </r>
  <r>
    <x v="300"/>
    <x v="228"/>
    <x v="3"/>
    <n v="7"/>
    <n v="12500"/>
    <n v="0"/>
    <n v="87500"/>
    <n v="56875"/>
    <n v="30625"/>
    <x v="3"/>
    <x v="3"/>
    <x v="0"/>
  </r>
  <r>
    <x v="301"/>
    <x v="19"/>
    <x v="1"/>
    <n v="6"/>
    <n v="1890"/>
    <n v="0.15"/>
    <n v="9639"/>
    <n v="7371"/>
    <n v="2268"/>
    <x v="0"/>
    <x v="0"/>
    <x v="0"/>
  </r>
  <r>
    <x v="302"/>
    <x v="229"/>
    <x v="0"/>
    <n v="7"/>
    <n v="49400"/>
    <n v="0.05"/>
    <n v="328510"/>
    <n v="224770"/>
    <n v="103740"/>
    <x v="1"/>
    <x v="5"/>
    <x v="0"/>
  </r>
  <r>
    <x v="303"/>
    <x v="230"/>
    <x v="8"/>
    <n v="5"/>
    <n v="665"/>
    <n v="0.15"/>
    <n v="2826.25"/>
    <n v="2161.25"/>
    <n v="665"/>
    <x v="2"/>
    <x v="2"/>
    <x v="2"/>
  </r>
  <r>
    <x v="304"/>
    <x v="231"/>
    <x v="4"/>
    <n v="7"/>
    <n v="3200"/>
    <n v="0"/>
    <n v="22400"/>
    <n v="14560"/>
    <n v="7840"/>
    <x v="3"/>
    <x v="3"/>
    <x v="0"/>
  </r>
  <r>
    <x v="305"/>
    <x v="232"/>
    <x v="2"/>
    <n v="3"/>
    <n v="650"/>
    <n v="0.15"/>
    <n v="1657.5"/>
    <n v="1267.5"/>
    <n v="390"/>
    <x v="0"/>
    <x v="8"/>
    <x v="2"/>
  </r>
  <r>
    <x v="306"/>
    <x v="84"/>
    <x v="2"/>
    <n v="1"/>
    <n v="617.5"/>
    <n v="0.1"/>
    <n v="555.75"/>
    <n v="401.375"/>
    <n v="154.375"/>
    <x v="2"/>
    <x v="12"/>
    <x v="2"/>
  </r>
  <r>
    <x v="307"/>
    <x v="233"/>
    <x v="9"/>
    <n v="3"/>
    <n v="1425"/>
    <n v="0.15"/>
    <n v="3633.75"/>
    <n v="2778.75"/>
    <n v="855"/>
    <x v="2"/>
    <x v="14"/>
    <x v="1"/>
  </r>
  <r>
    <x v="308"/>
    <x v="174"/>
    <x v="2"/>
    <n v="2"/>
    <n v="650"/>
    <n v="0.2"/>
    <n v="1040"/>
    <n v="845"/>
    <n v="195"/>
    <x v="3"/>
    <x v="10"/>
    <x v="1"/>
  </r>
  <r>
    <x v="309"/>
    <x v="103"/>
    <x v="4"/>
    <n v="2"/>
    <n v="3360"/>
    <n v="0.2"/>
    <n v="5376"/>
    <n v="4368"/>
    <n v="1008"/>
    <x v="0"/>
    <x v="7"/>
    <x v="0"/>
  </r>
  <r>
    <x v="310"/>
    <x v="234"/>
    <x v="9"/>
    <n v="5"/>
    <n v="1500"/>
    <n v="0.1"/>
    <n v="6750"/>
    <n v="4875"/>
    <n v="1875"/>
    <x v="3"/>
    <x v="10"/>
    <x v="1"/>
  </r>
  <r>
    <x v="311"/>
    <x v="235"/>
    <x v="9"/>
    <n v="5"/>
    <n v="1575"/>
    <n v="0.15"/>
    <n v="6693.75"/>
    <n v="5118.75"/>
    <n v="1575"/>
    <x v="3"/>
    <x v="10"/>
    <x v="1"/>
  </r>
  <r>
    <x v="312"/>
    <x v="84"/>
    <x v="7"/>
    <n v="8"/>
    <n v="2200"/>
    <n v="0.2"/>
    <n v="14080"/>
    <n v="11440"/>
    <n v="2640"/>
    <x v="0"/>
    <x v="8"/>
    <x v="1"/>
  </r>
  <r>
    <x v="313"/>
    <x v="236"/>
    <x v="7"/>
    <n v="7"/>
    <n v="2090"/>
    <n v="0.1"/>
    <n v="13167"/>
    <n v="9509.5"/>
    <n v="3657.5"/>
    <x v="2"/>
    <x v="12"/>
    <x v="2"/>
  </r>
  <r>
    <x v="314"/>
    <x v="237"/>
    <x v="4"/>
    <n v="5"/>
    <n v="3200"/>
    <n v="0.1"/>
    <n v="14400"/>
    <n v="10400"/>
    <n v="4000"/>
    <x v="0"/>
    <x v="8"/>
    <x v="2"/>
  </r>
  <r>
    <x v="315"/>
    <x v="238"/>
    <x v="4"/>
    <n v="5"/>
    <n v="3200"/>
    <n v="0.15"/>
    <n v="13600"/>
    <n v="10400"/>
    <n v="3200"/>
    <x v="0"/>
    <x v="6"/>
    <x v="2"/>
  </r>
  <r>
    <x v="316"/>
    <x v="239"/>
    <x v="4"/>
    <n v="2"/>
    <n v="3200"/>
    <n v="0.2"/>
    <n v="5120"/>
    <n v="4160"/>
    <n v="960"/>
    <x v="0"/>
    <x v="7"/>
    <x v="0"/>
  </r>
  <r>
    <x v="317"/>
    <x v="66"/>
    <x v="6"/>
    <n v="8"/>
    <n v="9800"/>
    <n v="0.1"/>
    <n v="70560"/>
    <n v="50960"/>
    <n v="19600"/>
    <x v="1"/>
    <x v="15"/>
    <x v="0"/>
  </r>
  <r>
    <x v="318"/>
    <x v="11"/>
    <x v="9"/>
    <n v="4"/>
    <n v="1500"/>
    <n v="0.1"/>
    <n v="5400"/>
    <n v="3900"/>
    <n v="1500"/>
    <x v="0"/>
    <x v="8"/>
    <x v="2"/>
  </r>
  <r>
    <x v="319"/>
    <x v="232"/>
    <x v="6"/>
    <n v="7"/>
    <n v="10290"/>
    <n v="0.2"/>
    <n v="57624"/>
    <n v="46819.5"/>
    <n v="10804.5"/>
    <x v="2"/>
    <x v="11"/>
    <x v="2"/>
  </r>
  <r>
    <x v="320"/>
    <x v="240"/>
    <x v="2"/>
    <n v="6"/>
    <n v="650"/>
    <n v="0.05"/>
    <n v="3705"/>
    <n v="2535"/>
    <n v="1170"/>
    <x v="1"/>
    <x v="15"/>
    <x v="2"/>
  </r>
  <r>
    <x v="321"/>
    <x v="135"/>
    <x v="2"/>
    <n v="2"/>
    <n v="617.5"/>
    <n v="0.1"/>
    <n v="1111.5"/>
    <n v="802.75"/>
    <n v="308.75"/>
    <x v="0"/>
    <x v="7"/>
    <x v="2"/>
  </r>
  <r>
    <x v="322"/>
    <x v="241"/>
    <x v="4"/>
    <n v="3"/>
    <n v="3360"/>
    <n v="0.1"/>
    <n v="9072"/>
    <n v="6552"/>
    <n v="2520"/>
    <x v="1"/>
    <x v="15"/>
    <x v="1"/>
  </r>
  <r>
    <x v="323"/>
    <x v="52"/>
    <x v="4"/>
    <n v="2"/>
    <n v="3040"/>
    <n v="0.05"/>
    <n v="5776"/>
    <n v="3952"/>
    <n v="1824"/>
    <x v="3"/>
    <x v="4"/>
    <x v="2"/>
  </r>
  <r>
    <x v="324"/>
    <x v="242"/>
    <x v="3"/>
    <n v="6"/>
    <n v="13125"/>
    <n v="0.15"/>
    <n v="66937.5"/>
    <n v="51187.5"/>
    <n v="15750"/>
    <x v="1"/>
    <x v="15"/>
    <x v="0"/>
  </r>
  <r>
    <x v="325"/>
    <x v="243"/>
    <x v="8"/>
    <n v="5"/>
    <n v="665"/>
    <n v="0"/>
    <n v="3325"/>
    <n v="2161.25"/>
    <n v="1163.75"/>
    <x v="1"/>
    <x v="13"/>
    <x v="2"/>
  </r>
  <r>
    <x v="326"/>
    <x v="244"/>
    <x v="9"/>
    <n v="3"/>
    <n v="1500"/>
    <n v="0.2"/>
    <n v="3600"/>
    <n v="2925"/>
    <n v="675"/>
    <x v="0"/>
    <x v="6"/>
    <x v="0"/>
  </r>
  <r>
    <x v="327"/>
    <x v="245"/>
    <x v="6"/>
    <n v="7"/>
    <n v="9800"/>
    <n v="0.05"/>
    <n v="65170"/>
    <n v="44590"/>
    <n v="20580"/>
    <x v="0"/>
    <x v="8"/>
    <x v="2"/>
  </r>
  <r>
    <x v="328"/>
    <x v="65"/>
    <x v="1"/>
    <n v="8"/>
    <n v="1800"/>
    <n v="0.2"/>
    <n v="11520"/>
    <n v="9360"/>
    <n v="2160"/>
    <x v="2"/>
    <x v="14"/>
    <x v="1"/>
  </r>
  <r>
    <x v="329"/>
    <x v="156"/>
    <x v="3"/>
    <n v="2"/>
    <n v="12500"/>
    <n v="0.2"/>
    <n v="20000"/>
    <n v="16250"/>
    <n v="3750"/>
    <x v="1"/>
    <x v="1"/>
    <x v="2"/>
  </r>
  <r>
    <x v="330"/>
    <x v="246"/>
    <x v="3"/>
    <n v="2"/>
    <n v="13125"/>
    <n v="0.1"/>
    <n v="23625"/>
    <n v="17062.5"/>
    <n v="6562.5"/>
    <x v="2"/>
    <x v="12"/>
    <x v="0"/>
  </r>
  <r>
    <x v="331"/>
    <x v="247"/>
    <x v="1"/>
    <n v="2"/>
    <n v="1890"/>
    <n v="0.1"/>
    <n v="3402"/>
    <n v="2457"/>
    <n v="945"/>
    <x v="3"/>
    <x v="10"/>
    <x v="0"/>
  </r>
  <r>
    <x v="332"/>
    <x v="248"/>
    <x v="7"/>
    <n v="3"/>
    <n v="2090"/>
    <n v="0.1"/>
    <n v="5643"/>
    <n v="4075.5"/>
    <n v="1567.5"/>
    <x v="1"/>
    <x v="1"/>
    <x v="2"/>
  </r>
  <r>
    <x v="333"/>
    <x v="249"/>
    <x v="9"/>
    <n v="3"/>
    <n v="1500"/>
    <n v="0.2"/>
    <n v="3600"/>
    <n v="2925"/>
    <n v="675"/>
    <x v="2"/>
    <x v="14"/>
    <x v="0"/>
  </r>
  <r>
    <x v="334"/>
    <x v="250"/>
    <x v="1"/>
    <n v="7"/>
    <n v="1890"/>
    <n v="0.05"/>
    <n v="12568.5"/>
    <n v="8599.5"/>
    <n v="3969"/>
    <x v="2"/>
    <x v="2"/>
    <x v="0"/>
  </r>
  <r>
    <x v="335"/>
    <x v="251"/>
    <x v="6"/>
    <n v="3"/>
    <n v="9800"/>
    <n v="0.05"/>
    <n v="27930"/>
    <n v="19110"/>
    <n v="8820"/>
    <x v="3"/>
    <x v="10"/>
    <x v="0"/>
  </r>
  <r>
    <x v="336"/>
    <x v="252"/>
    <x v="8"/>
    <n v="8"/>
    <n v="665"/>
    <n v="0.05"/>
    <n v="5054"/>
    <n v="3458"/>
    <n v="1596"/>
    <x v="0"/>
    <x v="8"/>
    <x v="0"/>
  </r>
  <r>
    <x v="337"/>
    <x v="2"/>
    <x v="6"/>
    <n v="8"/>
    <n v="10290"/>
    <n v="0.15"/>
    <n v="69972"/>
    <n v="53508"/>
    <n v="16464"/>
    <x v="2"/>
    <x v="14"/>
    <x v="1"/>
  </r>
  <r>
    <x v="338"/>
    <x v="253"/>
    <x v="1"/>
    <n v="4"/>
    <n v="1710"/>
    <n v="0.1"/>
    <n v="6156"/>
    <n v="4446"/>
    <n v="1710"/>
    <x v="1"/>
    <x v="5"/>
    <x v="1"/>
  </r>
  <r>
    <x v="339"/>
    <x v="254"/>
    <x v="9"/>
    <n v="8"/>
    <n v="1575"/>
    <n v="0.2"/>
    <n v="10080"/>
    <n v="8190"/>
    <n v="1890"/>
    <x v="1"/>
    <x v="13"/>
    <x v="2"/>
  </r>
  <r>
    <x v="340"/>
    <x v="255"/>
    <x v="5"/>
    <n v="8"/>
    <n v="2470"/>
    <n v="0.2"/>
    <n v="15808"/>
    <n v="12844"/>
    <n v="2964"/>
    <x v="0"/>
    <x v="8"/>
    <x v="1"/>
  </r>
  <r>
    <x v="341"/>
    <x v="210"/>
    <x v="7"/>
    <n v="8"/>
    <n v="2090"/>
    <n v="0.1"/>
    <n v="15048"/>
    <n v="10868"/>
    <n v="4180"/>
    <x v="3"/>
    <x v="9"/>
    <x v="2"/>
  </r>
  <r>
    <x v="342"/>
    <x v="256"/>
    <x v="3"/>
    <n v="6"/>
    <n v="12500"/>
    <n v="0.2"/>
    <n v="60000"/>
    <n v="48750"/>
    <n v="11250"/>
    <x v="2"/>
    <x v="2"/>
    <x v="0"/>
  </r>
  <r>
    <x v="343"/>
    <x v="177"/>
    <x v="3"/>
    <n v="1"/>
    <n v="12500"/>
    <n v="0.2"/>
    <n v="10000"/>
    <n v="8125"/>
    <n v="1875"/>
    <x v="3"/>
    <x v="4"/>
    <x v="0"/>
  </r>
  <r>
    <x v="344"/>
    <x v="257"/>
    <x v="8"/>
    <n v="5"/>
    <n v="700"/>
    <n v="0.2"/>
    <n v="2800"/>
    <n v="2275"/>
    <n v="525"/>
    <x v="3"/>
    <x v="9"/>
    <x v="1"/>
  </r>
  <r>
    <x v="345"/>
    <x v="258"/>
    <x v="0"/>
    <n v="3"/>
    <n v="52000"/>
    <n v="0.05"/>
    <n v="148200"/>
    <n v="101400"/>
    <n v="46800"/>
    <x v="0"/>
    <x v="7"/>
    <x v="0"/>
  </r>
  <r>
    <x v="346"/>
    <x v="54"/>
    <x v="3"/>
    <n v="8"/>
    <n v="13125"/>
    <n v="0.05"/>
    <n v="99750"/>
    <n v="68250"/>
    <n v="31500"/>
    <x v="3"/>
    <x v="10"/>
    <x v="2"/>
  </r>
  <r>
    <x v="347"/>
    <x v="151"/>
    <x v="2"/>
    <n v="7"/>
    <n v="617.5"/>
    <n v="0.2"/>
    <n v="3458"/>
    <n v="2809.625"/>
    <n v="648.375"/>
    <x v="3"/>
    <x v="4"/>
    <x v="2"/>
  </r>
  <r>
    <x v="348"/>
    <x v="259"/>
    <x v="8"/>
    <n v="2"/>
    <n v="665"/>
    <n v="0.15"/>
    <n v="1130.5"/>
    <n v="864.5"/>
    <n v="266"/>
    <x v="3"/>
    <x v="9"/>
    <x v="0"/>
  </r>
  <r>
    <x v="349"/>
    <x v="109"/>
    <x v="3"/>
    <n v="4"/>
    <n v="13125"/>
    <n v="0.15"/>
    <n v="44625"/>
    <n v="34125"/>
    <n v="10500"/>
    <x v="3"/>
    <x v="4"/>
    <x v="2"/>
  </r>
  <r>
    <x v="350"/>
    <x v="183"/>
    <x v="5"/>
    <n v="8"/>
    <n v="2600"/>
    <n v="0.1"/>
    <n v="18720"/>
    <n v="13520"/>
    <n v="5200"/>
    <x v="1"/>
    <x v="13"/>
    <x v="1"/>
  </r>
  <r>
    <x v="351"/>
    <x v="146"/>
    <x v="0"/>
    <n v="3"/>
    <n v="49400"/>
    <n v="0.15"/>
    <n v="125970"/>
    <n v="96330"/>
    <n v="29640"/>
    <x v="2"/>
    <x v="11"/>
    <x v="2"/>
  </r>
  <r>
    <x v="352"/>
    <x v="260"/>
    <x v="9"/>
    <n v="3"/>
    <n v="1500"/>
    <n v="0.1"/>
    <n v="4050"/>
    <n v="2925"/>
    <n v="1125"/>
    <x v="1"/>
    <x v="5"/>
    <x v="2"/>
  </r>
  <r>
    <x v="353"/>
    <x v="253"/>
    <x v="8"/>
    <n v="1"/>
    <n v="700"/>
    <n v="0.15"/>
    <n v="595"/>
    <n v="455"/>
    <n v="140"/>
    <x v="3"/>
    <x v="3"/>
    <x v="2"/>
  </r>
  <r>
    <x v="354"/>
    <x v="261"/>
    <x v="2"/>
    <n v="4"/>
    <n v="617.5"/>
    <n v="0.15"/>
    <n v="2099.5"/>
    <n v="1605.5"/>
    <n v="494"/>
    <x v="1"/>
    <x v="1"/>
    <x v="0"/>
  </r>
  <r>
    <x v="355"/>
    <x v="88"/>
    <x v="5"/>
    <n v="1"/>
    <n v="2730"/>
    <n v="0"/>
    <n v="2730"/>
    <n v="1774.5"/>
    <n v="955.5"/>
    <x v="3"/>
    <x v="9"/>
    <x v="2"/>
  </r>
  <r>
    <x v="356"/>
    <x v="262"/>
    <x v="6"/>
    <n v="4"/>
    <n v="9310"/>
    <n v="0.15"/>
    <n v="31654"/>
    <n v="24206"/>
    <n v="7448"/>
    <x v="1"/>
    <x v="13"/>
    <x v="1"/>
  </r>
  <r>
    <x v="357"/>
    <x v="263"/>
    <x v="8"/>
    <n v="3"/>
    <n v="700"/>
    <n v="0.15"/>
    <n v="1785"/>
    <n v="1365"/>
    <n v="420"/>
    <x v="0"/>
    <x v="7"/>
    <x v="1"/>
  </r>
  <r>
    <x v="358"/>
    <x v="81"/>
    <x v="1"/>
    <n v="3"/>
    <n v="1710"/>
    <n v="0.15"/>
    <n v="4360.5"/>
    <n v="3334.5"/>
    <n v="1026"/>
    <x v="3"/>
    <x v="3"/>
    <x v="0"/>
  </r>
  <r>
    <x v="359"/>
    <x v="264"/>
    <x v="4"/>
    <n v="4"/>
    <n v="3360"/>
    <n v="0"/>
    <n v="13440"/>
    <n v="8736"/>
    <n v="4704"/>
    <x v="1"/>
    <x v="1"/>
    <x v="1"/>
  </r>
  <r>
    <x v="360"/>
    <x v="265"/>
    <x v="8"/>
    <n v="6"/>
    <n v="735"/>
    <n v="0.05"/>
    <n v="4189.5"/>
    <n v="2866.5"/>
    <n v="1323"/>
    <x v="0"/>
    <x v="6"/>
    <x v="0"/>
  </r>
  <r>
    <x v="361"/>
    <x v="55"/>
    <x v="3"/>
    <n v="1"/>
    <n v="12500"/>
    <n v="0.1"/>
    <n v="11250"/>
    <n v="8125"/>
    <n v="3125"/>
    <x v="0"/>
    <x v="7"/>
    <x v="0"/>
  </r>
  <r>
    <x v="362"/>
    <x v="266"/>
    <x v="7"/>
    <n v="4"/>
    <n v="2090"/>
    <n v="0.15"/>
    <n v="7106"/>
    <n v="5434"/>
    <n v="1672"/>
    <x v="2"/>
    <x v="11"/>
    <x v="1"/>
  </r>
  <r>
    <x v="363"/>
    <x v="11"/>
    <x v="1"/>
    <n v="1"/>
    <n v="1710"/>
    <n v="0.1"/>
    <n v="1539"/>
    <n v="1111.5"/>
    <n v="427.5"/>
    <x v="3"/>
    <x v="3"/>
    <x v="2"/>
  </r>
  <r>
    <x v="364"/>
    <x v="208"/>
    <x v="8"/>
    <n v="8"/>
    <n v="700"/>
    <n v="0"/>
    <n v="5600"/>
    <n v="3640"/>
    <n v="1960"/>
    <x v="1"/>
    <x v="13"/>
    <x v="1"/>
  </r>
  <r>
    <x v="365"/>
    <x v="41"/>
    <x v="3"/>
    <n v="1"/>
    <n v="11875"/>
    <n v="0.15"/>
    <n v="10093.75"/>
    <n v="7718.75"/>
    <n v="2375"/>
    <x v="3"/>
    <x v="10"/>
    <x v="2"/>
  </r>
  <r>
    <x v="366"/>
    <x v="267"/>
    <x v="2"/>
    <n v="5"/>
    <n v="650"/>
    <n v="0"/>
    <n v="3250"/>
    <n v="2112.5"/>
    <n v="1137.5"/>
    <x v="3"/>
    <x v="9"/>
    <x v="0"/>
  </r>
  <r>
    <x v="367"/>
    <x v="268"/>
    <x v="9"/>
    <n v="7"/>
    <n v="1500"/>
    <n v="0.2"/>
    <n v="8400"/>
    <n v="6825"/>
    <n v="1575"/>
    <x v="1"/>
    <x v="5"/>
    <x v="0"/>
  </r>
  <r>
    <x v="368"/>
    <x v="147"/>
    <x v="3"/>
    <n v="4"/>
    <n v="11875"/>
    <n v="0"/>
    <n v="47500"/>
    <n v="30875"/>
    <n v="16625"/>
    <x v="2"/>
    <x v="11"/>
    <x v="2"/>
  </r>
  <r>
    <x v="369"/>
    <x v="144"/>
    <x v="7"/>
    <n v="2"/>
    <n v="2200"/>
    <n v="0"/>
    <n v="4400"/>
    <n v="2860"/>
    <n v="1540"/>
    <x v="0"/>
    <x v="0"/>
    <x v="1"/>
  </r>
  <r>
    <x v="370"/>
    <x v="269"/>
    <x v="8"/>
    <n v="3"/>
    <n v="700"/>
    <n v="0.1"/>
    <n v="1890"/>
    <n v="1365"/>
    <n v="525"/>
    <x v="0"/>
    <x v="6"/>
    <x v="0"/>
  </r>
  <r>
    <x v="371"/>
    <x v="256"/>
    <x v="0"/>
    <n v="7"/>
    <n v="52000"/>
    <n v="0.1"/>
    <n v="327600"/>
    <n v="236600"/>
    <n v="91000"/>
    <x v="1"/>
    <x v="5"/>
    <x v="0"/>
  </r>
  <r>
    <x v="372"/>
    <x v="270"/>
    <x v="6"/>
    <n v="6"/>
    <n v="10290"/>
    <n v="0"/>
    <n v="61740"/>
    <n v="40131"/>
    <n v="21609"/>
    <x v="2"/>
    <x v="2"/>
    <x v="2"/>
  </r>
  <r>
    <x v="373"/>
    <x v="271"/>
    <x v="7"/>
    <n v="2"/>
    <n v="2090"/>
    <n v="0.05"/>
    <n v="3971"/>
    <n v="2717"/>
    <n v="1254"/>
    <x v="1"/>
    <x v="13"/>
    <x v="1"/>
  </r>
  <r>
    <x v="374"/>
    <x v="185"/>
    <x v="0"/>
    <n v="6"/>
    <n v="54600"/>
    <n v="0.15"/>
    <n v="278460"/>
    <n v="212940"/>
    <n v="65520"/>
    <x v="0"/>
    <x v="7"/>
    <x v="1"/>
  </r>
  <r>
    <x v="375"/>
    <x v="211"/>
    <x v="3"/>
    <n v="4"/>
    <n v="12500"/>
    <n v="0.15"/>
    <n v="42500"/>
    <n v="32500"/>
    <n v="10000"/>
    <x v="3"/>
    <x v="4"/>
    <x v="1"/>
  </r>
  <r>
    <x v="376"/>
    <x v="272"/>
    <x v="2"/>
    <n v="3"/>
    <n v="617.5"/>
    <n v="0.05"/>
    <n v="1759.875"/>
    <n v="1204.125"/>
    <n v="555.75"/>
    <x v="1"/>
    <x v="15"/>
    <x v="1"/>
  </r>
  <r>
    <x v="377"/>
    <x v="273"/>
    <x v="7"/>
    <n v="6"/>
    <n v="2200"/>
    <n v="0"/>
    <n v="13200"/>
    <n v="8580"/>
    <n v="4620"/>
    <x v="2"/>
    <x v="11"/>
    <x v="2"/>
  </r>
  <r>
    <x v="378"/>
    <x v="21"/>
    <x v="7"/>
    <n v="4"/>
    <n v="2200"/>
    <n v="0.15"/>
    <n v="7480"/>
    <n v="5720"/>
    <n v="1760"/>
    <x v="3"/>
    <x v="10"/>
    <x v="1"/>
  </r>
  <r>
    <x v="379"/>
    <x v="274"/>
    <x v="9"/>
    <n v="7"/>
    <n v="1425"/>
    <n v="0"/>
    <n v="9975"/>
    <n v="6483.75"/>
    <n v="3491.25"/>
    <x v="0"/>
    <x v="6"/>
    <x v="0"/>
  </r>
  <r>
    <x v="380"/>
    <x v="275"/>
    <x v="8"/>
    <n v="7"/>
    <n v="665"/>
    <n v="0.1"/>
    <n v="4189.5"/>
    <n v="3025.75"/>
    <n v="1163.75"/>
    <x v="1"/>
    <x v="1"/>
    <x v="0"/>
  </r>
  <r>
    <x v="381"/>
    <x v="24"/>
    <x v="4"/>
    <n v="1"/>
    <n v="3360"/>
    <n v="0.05"/>
    <n v="3192"/>
    <n v="2184"/>
    <n v="1008"/>
    <x v="3"/>
    <x v="9"/>
    <x v="1"/>
  </r>
  <r>
    <x v="382"/>
    <x v="202"/>
    <x v="5"/>
    <n v="6"/>
    <n v="2730"/>
    <n v="0.15"/>
    <n v="13923"/>
    <n v="10647"/>
    <n v="3276"/>
    <x v="1"/>
    <x v="13"/>
    <x v="0"/>
  </r>
  <r>
    <x v="383"/>
    <x v="59"/>
    <x v="4"/>
    <n v="1"/>
    <n v="3040"/>
    <n v="0.15"/>
    <n v="2584"/>
    <n v="1976"/>
    <n v="608"/>
    <x v="0"/>
    <x v="7"/>
    <x v="2"/>
  </r>
  <r>
    <x v="384"/>
    <x v="49"/>
    <x v="8"/>
    <n v="6"/>
    <n v="735"/>
    <n v="0.1"/>
    <n v="3969"/>
    <n v="2866.5"/>
    <n v="1102.5"/>
    <x v="2"/>
    <x v="12"/>
    <x v="1"/>
  </r>
  <r>
    <x v="385"/>
    <x v="276"/>
    <x v="3"/>
    <n v="2"/>
    <n v="12500"/>
    <n v="0.05"/>
    <n v="23750"/>
    <n v="16250"/>
    <n v="7500"/>
    <x v="1"/>
    <x v="1"/>
    <x v="2"/>
  </r>
  <r>
    <x v="386"/>
    <x v="187"/>
    <x v="8"/>
    <n v="2"/>
    <n v="735"/>
    <n v="0.2"/>
    <n v="1176"/>
    <n v="955.5"/>
    <n v="220.5"/>
    <x v="3"/>
    <x v="3"/>
    <x v="2"/>
  </r>
  <r>
    <x v="387"/>
    <x v="193"/>
    <x v="6"/>
    <n v="2"/>
    <n v="9800"/>
    <n v="0"/>
    <n v="19600"/>
    <n v="12740"/>
    <n v="6860"/>
    <x v="0"/>
    <x v="6"/>
    <x v="0"/>
  </r>
  <r>
    <x v="388"/>
    <x v="277"/>
    <x v="3"/>
    <n v="3"/>
    <n v="12500"/>
    <n v="0"/>
    <n v="37500"/>
    <n v="24375"/>
    <n v="13125"/>
    <x v="0"/>
    <x v="6"/>
    <x v="2"/>
  </r>
  <r>
    <x v="389"/>
    <x v="160"/>
    <x v="0"/>
    <n v="5"/>
    <n v="52000"/>
    <n v="0.05"/>
    <n v="247000"/>
    <n v="169000"/>
    <n v="78000"/>
    <x v="1"/>
    <x v="15"/>
    <x v="2"/>
  </r>
  <r>
    <x v="390"/>
    <x v="278"/>
    <x v="2"/>
    <n v="2"/>
    <n v="682.5"/>
    <n v="0.05"/>
    <n v="1296.75"/>
    <n v="887.25"/>
    <n v="409.5"/>
    <x v="1"/>
    <x v="13"/>
    <x v="1"/>
  </r>
  <r>
    <x v="391"/>
    <x v="279"/>
    <x v="9"/>
    <n v="7"/>
    <n v="1500"/>
    <n v="0.1"/>
    <n v="9450"/>
    <n v="6825"/>
    <n v="2625"/>
    <x v="1"/>
    <x v="5"/>
    <x v="1"/>
  </r>
  <r>
    <x v="392"/>
    <x v="280"/>
    <x v="2"/>
    <n v="8"/>
    <n v="650"/>
    <n v="0.05"/>
    <n v="4940"/>
    <n v="3380"/>
    <n v="1560"/>
    <x v="1"/>
    <x v="5"/>
    <x v="1"/>
  </r>
  <r>
    <x v="393"/>
    <x v="200"/>
    <x v="6"/>
    <n v="3"/>
    <n v="9310"/>
    <n v="0.2"/>
    <n v="22344"/>
    <n v="18154.5"/>
    <n v="4189.5"/>
    <x v="2"/>
    <x v="14"/>
    <x v="2"/>
  </r>
  <r>
    <x v="394"/>
    <x v="281"/>
    <x v="4"/>
    <n v="3"/>
    <n v="3360"/>
    <n v="0.1"/>
    <n v="9072"/>
    <n v="6552"/>
    <n v="2520"/>
    <x v="0"/>
    <x v="7"/>
    <x v="2"/>
  </r>
  <r>
    <x v="395"/>
    <x v="78"/>
    <x v="6"/>
    <n v="1"/>
    <n v="9800"/>
    <n v="0.2"/>
    <n v="7840"/>
    <n v="6370"/>
    <n v="1470"/>
    <x v="0"/>
    <x v="6"/>
    <x v="2"/>
  </r>
  <r>
    <x v="396"/>
    <x v="258"/>
    <x v="5"/>
    <n v="1"/>
    <n v="2730"/>
    <n v="0"/>
    <n v="2730"/>
    <n v="1774.5"/>
    <n v="955.5"/>
    <x v="3"/>
    <x v="10"/>
    <x v="1"/>
  </r>
  <r>
    <x v="397"/>
    <x v="211"/>
    <x v="3"/>
    <n v="1"/>
    <n v="12500"/>
    <n v="0.15"/>
    <n v="10625"/>
    <n v="8125"/>
    <n v="2500"/>
    <x v="3"/>
    <x v="10"/>
    <x v="0"/>
  </r>
  <r>
    <x v="398"/>
    <x v="101"/>
    <x v="8"/>
    <n v="7"/>
    <n v="700"/>
    <n v="0.1"/>
    <n v="4410"/>
    <n v="3185"/>
    <n v="1225"/>
    <x v="0"/>
    <x v="0"/>
    <x v="2"/>
  </r>
  <r>
    <x v="399"/>
    <x v="282"/>
    <x v="0"/>
    <n v="1"/>
    <n v="52000"/>
    <n v="0.15"/>
    <n v="44200"/>
    <n v="33800"/>
    <n v="10400"/>
    <x v="3"/>
    <x v="3"/>
    <x v="1"/>
  </r>
  <r>
    <x v="400"/>
    <x v="36"/>
    <x v="3"/>
    <n v="5"/>
    <n v="12500"/>
    <n v="0.2"/>
    <n v="50000"/>
    <n v="40625"/>
    <n v="9375"/>
    <x v="1"/>
    <x v="1"/>
    <x v="0"/>
  </r>
  <r>
    <x v="401"/>
    <x v="247"/>
    <x v="8"/>
    <n v="3"/>
    <n v="700"/>
    <n v="0.05"/>
    <n v="1995"/>
    <n v="1365"/>
    <n v="630"/>
    <x v="3"/>
    <x v="4"/>
    <x v="0"/>
  </r>
  <r>
    <x v="402"/>
    <x v="283"/>
    <x v="8"/>
    <n v="4"/>
    <n v="700"/>
    <n v="0.15"/>
    <n v="2380"/>
    <n v="1820"/>
    <n v="560"/>
    <x v="3"/>
    <x v="3"/>
    <x v="2"/>
  </r>
  <r>
    <x v="403"/>
    <x v="284"/>
    <x v="2"/>
    <n v="4"/>
    <n v="617.5"/>
    <n v="0.2"/>
    <n v="1976"/>
    <n v="1605.5"/>
    <n v="370.5"/>
    <x v="0"/>
    <x v="0"/>
    <x v="0"/>
  </r>
  <r>
    <x v="404"/>
    <x v="87"/>
    <x v="0"/>
    <n v="4"/>
    <n v="52000"/>
    <n v="0.05"/>
    <n v="197600"/>
    <n v="135200"/>
    <n v="62400"/>
    <x v="3"/>
    <x v="3"/>
    <x v="2"/>
  </r>
  <r>
    <x v="405"/>
    <x v="285"/>
    <x v="0"/>
    <n v="3"/>
    <n v="52000"/>
    <n v="0"/>
    <n v="156000"/>
    <n v="101400"/>
    <n v="54600"/>
    <x v="3"/>
    <x v="9"/>
    <x v="2"/>
  </r>
  <r>
    <x v="406"/>
    <x v="286"/>
    <x v="1"/>
    <n v="6"/>
    <n v="1710"/>
    <n v="0.1"/>
    <n v="9234"/>
    <n v="6669"/>
    <n v="2565"/>
    <x v="3"/>
    <x v="3"/>
    <x v="1"/>
  </r>
  <r>
    <x v="407"/>
    <x v="147"/>
    <x v="6"/>
    <n v="3"/>
    <n v="9800"/>
    <n v="0.2"/>
    <n v="23520"/>
    <n v="19110"/>
    <n v="4410"/>
    <x v="3"/>
    <x v="3"/>
    <x v="0"/>
  </r>
  <r>
    <x v="408"/>
    <x v="213"/>
    <x v="4"/>
    <n v="5"/>
    <n v="3200"/>
    <n v="0.05"/>
    <n v="15200"/>
    <n v="10400"/>
    <n v="4800"/>
    <x v="0"/>
    <x v="0"/>
    <x v="0"/>
  </r>
  <r>
    <x v="409"/>
    <x v="287"/>
    <x v="1"/>
    <n v="3"/>
    <n v="1710"/>
    <n v="0.2"/>
    <n v="4104"/>
    <n v="3334.5"/>
    <n v="769.5"/>
    <x v="3"/>
    <x v="3"/>
    <x v="0"/>
  </r>
  <r>
    <x v="410"/>
    <x v="139"/>
    <x v="6"/>
    <n v="6"/>
    <n v="9800"/>
    <n v="0"/>
    <n v="58800"/>
    <n v="38220"/>
    <n v="20580"/>
    <x v="0"/>
    <x v="6"/>
    <x v="2"/>
  </r>
  <r>
    <x v="411"/>
    <x v="288"/>
    <x v="2"/>
    <n v="8"/>
    <n v="650"/>
    <n v="0"/>
    <n v="5200"/>
    <n v="3380"/>
    <n v="1820"/>
    <x v="3"/>
    <x v="3"/>
    <x v="1"/>
  </r>
  <r>
    <x v="412"/>
    <x v="289"/>
    <x v="8"/>
    <n v="2"/>
    <n v="700"/>
    <n v="0"/>
    <n v="1400"/>
    <n v="910"/>
    <n v="490"/>
    <x v="1"/>
    <x v="15"/>
    <x v="2"/>
  </r>
  <r>
    <x v="413"/>
    <x v="211"/>
    <x v="9"/>
    <n v="8"/>
    <n v="1575"/>
    <n v="0.15"/>
    <n v="10710"/>
    <n v="8190"/>
    <n v="2520"/>
    <x v="3"/>
    <x v="10"/>
    <x v="1"/>
  </r>
  <r>
    <x v="414"/>
    <x v="290"/>
    <x v="1"/>
    <n v="3"/>
    <n v="1800"/>
    <n v="0.15"/>
    <n v="4590"/>
    <n v="3510"/>
    <n v="1080"/>
    <x v="1"/>
    <x v="13"/>
    <x v="2"/>
  </r>
  <r>
    <x v="415"/>
    <x v="70"/>
    <x v="8"/>
    <n v="2"/>
    <n v="700"/>
    <n v="0"/>
    <n v="1400"/>
    <n v="910"/>
    <n v="490"/>
    <x v="3"/>
    <x v="3"/>
    <x v="2"/>
  </r>
  <r>
    <x v="416"/>
    <x v="291"/>
    <x v="2"/>
    <n v="6"/>
    <n v="617.5"/>
    <n v="0.2"/>
    <n v="2964"/>
    <n v="2408.25"/>
    <n v="555.75"/>
    <x v="2"/>
    <x v="11"/>
    <x v="2"/>
  </r>
  <r>
    <x v="417"/>
    <x v="292"/>
    <x v="1"/>
    <n v="3"/>
    <n v="1890"/>
    <n v="0"/>
    <n v="5670"/>
    <n v="3685.5"/>
    <n v="1984.5"/>
    <x v="1"/>
    <x v="5"/>
    <x v="1"/>
  </r>
  <r>
    <x v="418"/>
    <x v="118"/>
    <x v="4"/>
    <n v="5"/>
    <n v="3200"/>
    <n v="0.1"/>
    <n v="14400"/>
    <n v="10400"/>
    <n v="4000"/>
    <x v="0"/>
    <x v="0"/>
    <x v="1"/>
  </r>
  <r>
    <x v="419"/>
    <x v="189"/>
    <x v="1"/>
    <n v="3"/>
    <n v="1890"/>
    <n v="0"/>
    <n v="5670"/>
    <n v="3685.5"/>
    <n v="1984.5"/>
    <x v="3"/>
    <x v="9"/>
    <x v="2"/>
  </r>
  <r>
    <x v="420"/>
    <x v="1"/>
    <x v="7"/>
    <n v="4"/>
    <n v="2310"/>
    <n v="0"/>
    <n v="9240"/>
    <n v="6006"/>
    <n v="3234"/>
    <x v="1"/>
    <x v="1"/>
    <x v="1"/>
  </r>
  <r>
    <x v="421"/>
    <x v="103"/>
    <x v="2"/>
    <n v="2"/>
    <n v="682.5"/>
    <n v="0.1"/>
    <n v="1228.5"/>
    <n v="887.25"/>
    <n v="341.25"/>
    <x v="2"/>
    <x v="14"/>
    <x v="2"/>
  </r>
  <r>
    <x v="422"/>
    <x v="293"/>
    <x v="2"/>
    <n v="3"/>
    <n v="682.5"/>
    <n v="0.1"/>
    <n v="1842.75"/>
    <n v="1330.875"/>
    <n v="511.875"/>
    <x v="2"/>
    <x v="12"/>
    <x v="1"/>
  </r>
  <r>
    <x v="423"/>
    <x v="175"/>
    <x v="0"/>
    <n v="8"/>
    <n v="52000"/>
    <n v="0.15"/>
    <n v="353600"/>
    <n v="270400"/>
    <n v="83200"/>
    <x v="3"/>
    <x v="3"/>
    <x v="2"/>
  </r>
  <r>
    <x v="424"/>
    <x v="294"/>
    <x v="9"/>
    <n v="2"/>
    <n v="1425"/>
    <n v="0.1"/>
    <n v="2565"/>
    <n v="1852.5"/>
    <n v="712.5"/>
    <x v="2"/>
    <x v="2"/>
    <x v="0"/>
  </r>
  <r>
    <x v="425"/>
    <x v="31"/>
    <x v="4"/>
    <n v="8"/>
    <n v="3360"/>
    <n v="0.2"/>
    <n v="21504"/>
    <n v="17472"/>
    <n v="4032"/>
    <x v="0"/>
    <x v="8"/>
    <x v="2"/>
  </r>
  <r>
    <x v="426"/>
    <x v="216"/>
    <x v="4"/>
    <n v="3"/>
    <n v="3040"/>
    <n v="0"/>
    <n v="9120"/>
    <n v="5928"/>
    <n v="3192"/>
    <x v="2"/>
    <x v="2"/>
    <x v="1"/>
  </r>
  <r>
    <x v="427"/>
    <x v="295"/>
    <x v="3"/>
    <n v="1"/>
    <n v="12500"/>
    <n v="0.15"/>
    <n v="10625"/>
    <n v="8125"/>
    <n v="2500"/>
    <x v="1"/>
    <x v="15"/>
    <x v="1"/>
  </r>
  <r>
    <x v="428"/>
    <x v="296"/>
    <x v="1"/>
    <n v="6"/>
    <n v="1800"/>
    <n v="0"/>
    <n v="10800"/>
    <n v="7020"/>
    <n v="3780"/>
    <x v="1"/>
    <x v="15"/>
    <x v="0"/>
  </r>
  <r>
    <x v="429"/>
    <x v="230"/>
    <x v="5"/>
    <n v="5"/>
    <n v="2600"/>
    <n v="0.2"/>
    <n v="10400"/>
    <n v="8450"/>
    <n v="1950"/>
    <x v="2"/>
    <x v="11"/>
    <x v="0"/>
  </r>
  <r>
    <x v="430"/>
    <x v="34"/>
    <x v="4"/>
    <n v="7"/>
    <n v="3040"/>
    <n v="0.05"/>
    <n v="20216"/>
    <n v="13832"/>
    <n v="6384"/>
    <x v="0"/>
    <x v="0"/>
    <x v="1"/>
  </r>
  <r>
    <x v="431"/>
    <x v="297"/>
    <x v="7"/>
    <n v="7"/>
    <n v="2200"/>
    <n v="0.1"/>
    <n v="13860"/>
    <n v="10010"/>
    <n v="3850"/>
    <x v="2"/>
    <x v="14"/>
    <x v="0"/>
  </r>
  <r>
    <x v="432"/>
    <x v="25"/>
    <x v="0"/>
    <n v="5"/>
    <n v="52000"/>
    <n v="0.15"/>
    <n v="221000"/>
    <n v="169000"/>
    <n v="52000"/>
    <x v="0"/>
    <x v="8"/>
    <x v="1"/>
  </r>
  <r>
    <x v="433"/>
    <x v="286"/>
    <x v="8"/>
    <n v="1"/>
    <n v="700"/>
    <n v="0.15"/>
    <n v="595"/>
    <n v="455"/>
    <n v="140"/>
    <x v="3"/>
    <x v="4"/>
    <x v="1"/>
  </r>
  <r>
    <x v="434"/>
    <x v="183"/>
    <x v="7"/>
    <n v="5"/>
    <n v="2200"/>
    <n v="0.15"/>
    <n v="9350"/>
    <n v="7150"/>
    <n v="2200"/>
    <x v="1"/>
    <x v="1"/>
    <x v="1"/>
  </r>
  <r>
    <x v="435"/>
    <x v="298"/>
    <x v="6"/>
    <n v="5"/>
    <n v="9800"/>
    <n v="0.15"/>
    <n v="41650"/>
    <n v="31850"/>
    <n v="9800"/>
    <x v="1"/>
    <x v="1"/>
    <x v="2"/>
  </r>
  <r>
    <x v="436"/>
    <x v="295"/>
    <x v="4"/>
    <n v="6"/>
    <n v="3360"/>
    <n v="0"/>
    <n v="20160"/>
    <n v="13104"/>
    <n v="7056"/>
    <x v="0"/>
    <x v="0"/>
    <x v="2"/>
  </r>
  <r>
    <x v="437"/>
    <x v="299"/>
    <x v="4"/>
    <n v="1"/>
    <n v="3200"/>
    <n v="0.05"/>
    <n v="3040"/>
    <n v="2080"/>
    <n v="960"/>
    <x v="0"/>
    <x v="7"/>
    <x v="1"/>
  </r>
  <r>
    <x v="438"/>
    <x v="278"/>
    <x v="0"/>
    <n v="1"/>
    <n v="54600"/>
    <n v="0.1"/>
    <n v="49140"/>
    <n v="35490"/>
    <n v="13650"/>
    <x v="0"/>
    <x v="6"/>
    <x v="2"/>
  </r>
  <r>
    <x v="439"/>
    <x v="123"/>
    <x v="5"/>
    <n v="2"/>
    <n v="2730"/>
    <n v="0"/>
    <n v="5460"/>
    <n v="3549"/>
    <n v="1911"/>
    <x v="0"/>
    <x v="6"/>
    <x v="2"/>
  </r>
  <r>
    <x v="440"/>
    <x v="175"/>
    <x v="9"/>
    <n v="6"/>
    <n v="1575"/>
    <n v="0.1"/>
    <n v="8505"/>
    <n v="6142.5"/>
    <n v="2362.5"/>
    <x v="0"/>
    <x v="6"/>
    <x v="0"/>
  </r>
  <r>
    <x v="441"/>
    <x v="300"/>
    <x v="7"/>
    <n v="7"/>
    <n v="2090"/>
    <n v="0"/>
    <n v="14630"/>
    <n v="9509.5"/>
    <n v="5120.5"/>
    <x v="0"/>
    <x v="7"/>
    <x v="1"/>
  </r>
  <r>
    <x v="442"/>
    <x v="22"/>
    <x v="3"/>
    <n v="7"/>
    <n v="12500"/>
    <n v="0.2"/>
    <n v="70000"/>
    <n v="56875"/>
    <n v="13125"/>
    <x v="1"/>
    <x v="13"/>
    <x v="2"/>
  </r>
  <r>
    <x v="443"/>
    <x v="262"/>
    <x v="9"/>
    <n v="4"/>
    <n v="1425"/>
    <n v="0.1"/>
    <n v="5130"/>
    <n v="3705"/>
    <n v="1425"/>
    <x v="3"/>
    <x v="4"/>
    <x v="2"/>
  </r>
  <r>
    <x v="444"/>
    <x v="301"/>
    <x v="8"/>
    <n v="5"/>
    <n v="735"/>
    <n v="0.05"/>
    <n v="3491.25"/>
    <n v="2388.75"/>
    <n v="1102.5"/>
    <x v="2"/>
    <x v="12"/>
    <x v="0"/>
  </r>
  <r>
    <x v="445"/>
    <x v="133"/>
    <x v="1"/>
    <n v="2"/>
    <n v="1890"/>
    <n v="0"/>
    <n v="3780"/>
    <n v="2457"/>
    <n v="1323"/>
    <x v="3"/>
    <x v="4"/>
    <x v="2"/>
  </r>
  <r>
    <x v="446"/>
    <x v="46"/>
    <x v="6"/>
    <n v="6"/>
    <n v="9310"/>
    <n v="0.1"/>
    <n v="50274"/>
    <n v="36309"/>
    <n v="13965"/>
    <x v="3"/>
    <x v="4"/>
    <x v="2"/>
  </r>
  <r>
    <x v="447"/>
    <x v="302"/>
    <x v="3"/>
    <n v="4"/>
    <n v="12500"/>
    <n v="0"/>
    <n v="50000"/>
    <n v="32500"/>
    <n v="17500"/>
    <x v="2"/>
    <x v="12"/>
    <x v="0"/>
  </r>
  <r>
    <x v="448"/>
    <x v="223"/>
    <x v="0"/>
    <n v="5"/>
    <n v="54600"/>
    <n v="0.1"/>
    <n v="245700"/>
    <n v="177450"/>
    <n v="68250"/>
    <x v="2"/>
    <x v="14"/>
    <x v="2"/>
  </r>
  <r>
    <x v="449"/>
    <x v="303"/>
    <x v="1"/>
    <n v="6"/>
    <n v="1800"/>
    <n v="0.05"/>
    <n v="10260"/>
    <n v="7020"/>
    <n v="3240"/>
    <x v="2"/>
    <x v="12"/>
    <x v="0"/>
  </r>
  <r>
    <x v="450"/>
    <x v="298"/>
    <x v="9"/>
    <n v="5"/>
    <n v="1500"/>
    <n v="0"/>
    <n v="7500"/>
    <n v="4875"/>
    <n v="2625"/>
    <x v="2"/>
    <x v="2"/>
    <x v="0"/>
  </r>
  <r>
    <x v="451"/>
    <x v="304"/>
    <x v="5"/>
    <n v="6"/>
    <n v="2600"/>
    <n v="0"/>
    <n v="15600"/>
    <n v="10140"/>
    <n v="5460"/>
    <x v="0"/>
    <x v="6"/>
    <x v="1"/>
  </r>
  <r>
    <x v="452"/>
    <x v="305"/>
    <x v="4"/>
    <n v="6"/>
    <n v="3200"/>
    <n v="0.1"/>
    <n v="17280"/>
    <n v="12480"/>
    <n v="4800"/>
    <x v="3"/>
    <x v="10"/>
    <x v="1"/>
  </r>
  <r>
    <x v="453"/>
    <x v="91"/>
    <x v="0"/>
    <n v="8"/>
    <n v="49400"/>
    <n v="0.05"/>
    <n v="375440"/>
    <n v="256880"/>
    <n v="118560"/>
    <x v="1"/>
    <x v="15"/>
    <x v="0"/>
  </r>
  <r>
    <x v="454"/>
    <x v="302"/>
    <x v="4"/>
    <n v="3"/>
    <n v="3040"/>
    <n v="0.05"/>
    <n v="8664"/>
    <n v="5928"/>
    <n v="2736"/>
    <x v="0"/>
    <x v="6"/>
    <x v="2"/>
  </r>
  <r>
    <x v="455"/>
    <x v="306"/>
    <x v="9"/>
    <n v="3"/>
    <n v="1500"/>
    <n v="0"/>
    <n v="4500"/>
    <n v="2925"/>
    <n v="1575"/>
    <x v="2"/>
    <x v="12"/>
    <x v="0"/>
  </r>
  <r>
    <x v="456"/>
    <x v="238"/>
    <x v="8"/>
    <n v="1"/>
    <n v="665"/>
    <n v="0.15"/>
    <n v="565.25"/>
    <n v="432.25"/>
    <n v="133"/>
    <x v="3"/>
    <x v="3"/>
    <x v="1"/>
  </r>
  <r>
    <x v="457"/>
    <x v="307"/>
    <x v="6"/>
    <n v="3"/>
    <n v="9310"/>
    <n v="0.2"/>
    <n v="22344"/>
    <n v="18154.5"/>
    <n v="4189.5"/>
    <x v="2"/>
    <x v="14"/>
    <x v="2"/>
  </r>
  <r>
    <x v="458"/>
    <x v="308"/>
    <x v="6"/>
    <n v="1"/>
    <n v="10290"/>
    <n v="0"/>
    <n v="10290"/>
    <n v="6688.5"/>
    <n v="3601.5"/>
    <x v="0"/>
    <x v="6"/>
    <x v="1"/>
  </r>
  <r>
    <x v="459"/>
    <x v="54"/>
    <x v="5"/>
    <n v="1"/>
    <n v="2600"/>
    <n v="0"/>
    <n v="2600"/>
    <n v="1690"/>
    <n v="910"/>
    <x v="0"/>
    <x v="7"/>
    <x v="0"/>
  </r>
  <r>
    <x v="460"/>
    <x v="309"/>
    <x v="7"/>
    <n v="2"/>
    <n v="2200"/>
    <n v="0.15"/>
    <n v="3740"/>
    <n v="2860"/>
    <n v="880"/>
    <x v="3"/>
    <x v="3"/>
    <x v="1"/>
  </r>
  <r>
    <x v="461"/>
    <x v="310"/>
    <x v="7"/>
    <n v="8"/>
    <n v="2200"/>
    <n v="0.2"/>
    <n v="14080"/>
    <n v="11440"/>
    <n v="2640"/>
    <x v="3"/>
    <x v="10"/>
    <x v="0"/>
  </r>
  <r>
    <x v="462"/>
    <x v="190"/>
    <x v="8"/>
    <n v="6"/>
    <n v="735"/>
    <n v="0.05"/>
    <n v="4189.5"/>
    <n v="2866.5"/>
    <n v="1323"/>
    <x v="0"/>
    <x v="8"/>
    <x v="1"/>
  </r>
  <r>
    <x v="463"/>
    <x v="311"/>
    <x v="3"/>
    <n v="4"/>
    <n v="12500"/>
    <n v="0"/>
    <n v="50000"/>
    <n v="32500"/>
    <n v="17500"/>
    <x v="0"/>
    <x v="0"/>
    <x v="2"/>
  </r>
  <r>
    <x v="464"/>
    <x v="284"/>
    <x v="4"/>
    <n v="1"/>
    <n v="3200"/>
    <n v="0.2"/>
    <n v="2560"/>
    <n v="2080"/>
    <n v="480"/>
    <x v="1"/>
    <x v="13"/>
    <x v="0"/>
  </r>
  <r>
    <x v="465"/>
    <x v="70"/>
    <x v="0"/>
    <n v="7"/>
    <n v="49400"/>
    <n v="0.15"/>
    <n v="293930"/>
    <n v="224770"/>
    <n v="69160"/>
    <x v="2"/>
    <x v="11"/>
    <x v="0"/>
  </r>
  <r>
    <x v="466"/>
    <x v="312"/>
    <x v="6"/>
    <n v="4"/>
    <n v="9800"/>
    <n v="0"/>
    <n v="39200"/>
    <n v="25480"/>
    <n v="13720"/>
    <x v="3"/>
    <x v="10"/>
    <x v="0"/>
  </r>
  <r>
    <x v="467"/>
    <x v="297"/>
    <x v="5"/>
    <n v="3"/>
    <n v="2600"/>
    <n v="0.15"/>
    <n v="6630"/>
    <n v="5070"/>
    <n v="1560"/>
    <x v="1"/>
    <x v="13"/>
    <x v="2"/>
  </r>
  <r>
    <x v="468"/>
    <x v="313"/>
    <x v="2"/>
    <n v="4"/>
    <n v="682.5"/>
    <n v="0.2"/>
    <n v="2184"/>
    <n v="1774.5"/>
    <n v="409.5"/>
    <x v="0"/>
    <x v="6"/>
    <x v="0"/>
  </r>
  <r>
    <x v="469"/>
    <x v="167"/>
    <x v="8"/>
    <n v="5"/>
    <n v="735"/>
    <n v="0.05"/>
    <n v="3491.25"/>
    <n v="2388.75"/>
    <n v="1102.5"/>
    <x v="1"/>
    <x v="15"/>
    <x v="1"/>
  </r>
  <r>
    <x v="470"/>
    <x v="314"/>
    <x v="8"/>
    <n v="1"/>
    <n v="700"/>
    <n v="0"/>
    <n v="700"/>
    <n v="455"/>
    <n v="245"/>
    <x v="1"/>
    <x v="13"/>
    <x v="0"/>
  </r>
  <r>
    <x v="471"/>
    <x v="13"/>
    <x v="9"/>
    <n v="2"/>
    <n v="1425"/>
    <n v="0"/>
    <n v="2850"/>
    <n v="1852.5"/>
    <n v="997.5"/>
    <x v="3"/>
    <x v="3"/>
    <x v="2"/>
  </r>
  <r>
    <x v="472"/>
    <x v="315"/>
    <x v="7"/>
    <n v="1"/>
    <n v="2310"/>
    <n v="0"/>
    <n v="2310"/>
    <n v="1501.5"/>
    <n v="808.5"/>
    <x v="0"/>
    <x v="0"/>
    <x v="2"/>
  </r>
  <r>
    <x v="473"/>
    <x v="316"/>
    <x v="8"/>
    <n v="2"/>
    <n v="735"/>
    <n v="0"/>
    <n v="1470"/>
    <n v="955.5"/>
    <n v="514.5"/>
    <x v="1"/>
    <x v="13"/>
    <x v="1"/>
  </r>
  <r>
    <x v="474"/>
    <x v="317"/>
    <x v="8"/>
    <n v="8"/>
    <n v="700"/>
    <n v="0.2"/>
    <n v="4480"/>
    <n v="3640"/>
    <n v="840"/>
    <x v="3"/>
    <x v="9"/>
    <x v="2"/>
  </r>
  <r>
    <x v="475"/>
    <x v="318"/>
    <x v="9"/>
    <n v="7"/>
    <n v="1425"/>
    <n v="0.15"/>
    <n v="8478.75"/>
    <n v="6483.75"/>
    <n v="1995"/>
    <x v="2"/>
    <x v="12"/>
    <x v="2"/>
  </r>
  <r>
    <x v="476"/>
    <x v="87"/>
    <x v="4"/>
    <n v="2"/>
    <n v="3200"/>
    <n v="0.05"/>
    <n v="6080"/>
    <n v="4160"/>
    <n v="1920"/>
    <x v="1"/>
    <x v="1"/>
    <x v="1"/>
  </r>
  <r>
    <x v="477"/>
    <x v="214"/>
    <x v="1"/>
    <n v="8"/>
    <n v="1890"/>
    <n v="0.05"/>
    <n v="14364"/>
    <n v="9828"/>
    <n v="4536"/>
    <x v="2"/>
    <x v="12"/>
    <x v="0"/>
  </r>
  <r>
    <x v="478"/>
    <x v="65"/>
    <x v="9"/>
    <n v="8"/>
    <n v="1575"/>
    <n v="0"/>
    <n v="12600"/>
    <n v="8190"/>
    <n v="4410"/>
    <x v="2"/>
    <x v="14"/>
    <x v="1"/>
  </r>
  <r>
    <x v="479"/>
    <x v="235"/>
    <x v="7"/>
    <n v="1"/>
    <n v="2200"/>
    <n v="0.2"/>
    <n v="1760"/>
    <n v="1430"/>
    <n v="330"/>
    <x v="0"/>
    <x v="6"/>
    <x v="0"/>
  </r>
  <r>
    <x v="480"/>
    <x v="34"/>
    <x v="1"/>
    <n v="7"/>
    <n v="1710"/>
    <n v="0.05"/>
    <n v="11371.5"/>
    <n v="7780.5"/>
    <n v="3591"/>
    <x v="2"/>
    <x v="12"/>
    <x v="0"/>
  </r>
  <r>
    <x v="481"/>
    <x v="319"/>
    <x v="9"/>
    <n v="1"/>
    <n v="1425"/>
    <n v="0.05"/>
    <n v="1353.75"/>
    <n v="926.25"/>
    <n v="427.5"/>
    <x v="2"/>
    <x v="14"/>
    <x v="1"/>
  </r>
  <r>
    <x v="482"/>
    <x v="276"/>
    <x v="6"/>
    <n v="4"/>
    <n v="9800"/>
    <n v="0.1"/>
    <n v="35280"/>
    <n v="25480"/>
    <n v="9800"/>
    <x v="3"/>
    <x v="9"/>
    <x v="0"/>
  </r>
  <r>
    <x v="483"/>
    <x v="209"/>
    <x v="5"/>
    <n v="7"/>
    <n v="2730"/>
    <n v="0.05"/>
    <n v="18154.5"/>
    <n v="12421.5"/>
    <n v="5733"/>
    <x v="1"/>
    <x v="15"/>
    <x v="2"/>
  </r>
  <r>
    <x v="484"/>
    <x v="320"/>
    <x v="2"/>
    <n v="8"/>
    <n v="682.5"/>
    <n v="0.1"/>
    <n v="4914"/>
    <n v="3549"/>
    <n v="1365"/>
    <x v="1"/>
    <x v="15"/>
    <x v="0"/>
  </r>
  <r>
    <x v="485"/>
    <x v="321"/>
    <x v="2"/>
    <n v="7"/>
    <n v="682.5"/>
    <n v="0"/>
    <n v="4777.5"/>
    <n v="3105.375"/>
    <n v="1672.125"/>
    <x v="1"/>
    <x v="13"/>
    <x v="0"/>
  </r>
  <r>
    <x v="486"/>
    <x v="322"/>
    <x v="5"/>
    <n v="8"/>
    <n v="2600"/>
    <n v="0.1"/>
    <n v="18720"/>
    <n v="13520"/>
    <n v="5200"/>
    <x v="3"/>
    <x v="9"/>
    <x v="1"/>
  </r>
  <r>
    <x v="487"/>
    <x v="323"/>
    <x v="8"/>
    <n v="6"/>
    <n v="735"/>
    <n v="0.15"/>
    <n v="3748.5"/>
    <n v="2866.5"/>
    <n v="882"/>
    <x v="1"/>
    <x v="13"/>
    <x v="0"/>
  </r>
  <r>
    <x v="488"/>
    <x v="279"/>
    <x v="0"/>
    <n v="6"/>
    <n v="52000"/>
    <n v="0.1"/>
    <n v="280800"/>
    <n v="202800"/>
    <n v="78000"/>
    <x v="3"/>
    <x v="9"/>
    <x v="1"/>
  </r>
  <r>
    <x v="489"/>
    <x v="292"/>
    <x v="6"/>
    <n v="7"/>
    <n v="9800"/>
    <n v="0"/>
    <n v="68600"/>
    <n v="44590"/>
    <n v="24010"/>
    <x v="3"/>
    <x v="3"/>
    <x v="1"/>
  </r>
  <r>
    <x v="490"/>
    <x v="324"/>
    <x v="4"/>
    <n v="8"/>
    <n v="3200"/>
    <n v="0.05"/>
    <n v="24320"/>
    <n v="16640"/>
    <n v="7680"/>
    <x v="3"/>
    <x v="9"/>
    <x v="2"/>
  </r>
  <r>
    <x v="491"/>
    <x v="325"/>
    <x v="1"/>
    <n v="8"/>
    <n v="1710"/>
    <n v="0.15"/>
    <n v="11628"/>
    <n v="8892"/>
    <n v="2736"/>
    <x v="0"/>
    <x v="8"/>
    <x v="1"/>
  </r>
  <r>
    <x v="492"/>
    <x v="81"/>
    <x v="0"/>
    <n v="8"/>
    <n v="54600"/>
    <n v="0.2"/>
    <n v="349440"/>
    <n v="283920"/>
    <n v="65520"/>
    <x v="0"/>
    <x v="7"/>
    <x v="0"/>
  </r>
  <r>
    <x v="493"/>
    <x v="326"/>
    <x v="2"/>
    <n v="6"/>
    <n v="682.5"/>
    <n v="0.2"/>
    <n v="3276"/>
    <n v="2661.75"/>
    <n v="614.25"/>
    <x v="2"/>
    <x v="14"/>
    <x v="0"/>
  </r>
  <r>
    <x v="494"/>
    <x v="27"/>
    <x v="7"/>
    <n v="6"/>
    <n v="2310"/>
    <n v="0.1"/>
    <n v="12474"/>
    <n v="9009"/>
    <n v="3465"/>
    <x v="2"/>
    <x v="2"/>
    <x v="1"/>
  </r>
  <r>
    <x v="495"/>
    <x v="327"/>
    <x v="1"/>
    <n v="6"/>
    <n v="1800"/>
    <n v="0.2"/>
    <n v="8640"/>
    <n v="7020"/>
    <n v="1620"/>
    <x v="0"/>
    <x v="7"/>
    <x v="1"/>
  </r>
  <r>
    <x v="496"/>
    <x v="176"/>
    <x v="8"/>
    <n v="3"/>
    <n v="700"/>
    <n v="0.2"/>
    <n v="1680"/>
    <n v="1365"/>
    <n v="315"/>
    <x v="3"/>
    <x v="9"/>
    <x v="2"/>
  </r>
  <r>
    <x v="497"/>
    <x v="194"/>
    <x v="1"/>
    <n v="5"/>
    <n v="1890"/>
    <n v="0.15"/>
    <n v="8032.5"/>
    <n v="6142.5"/>
    <n v="1890"/>
    <x v="1"/>
    <x v="13"/>
    <x v="1"/>
  </r>
  <r>
    <x v="498"/>
    <x v="328"/>
    <x v="9"/>
    <n v="1"/>
    <n v="1425"/>
    <n v="0.05"/>
    <n v="1353.75"/>
    <n v="926.25"/>
    <n v="427.5"/>
    <x v="3"/>
    <x v="3"/>
    <x v="2"/>
  </r>
  <r>
    <x v="499"/>
    <x v="329"/>
    <x v="9"/>
    <n v="5"/>
    <n v="1425"/>
    <n v="0.05"/>
    <n v="6768.75"/>
    <n v="4631.25"/>
    <n v="2137.5"/>
    <x v="1"/>
    <x v="5"/>
    <x v="2"/>
  </r>
  <r>
    <x v="500"/>
    <x v="233"/>
    <x v="1"/>
    <n v="7"/>
    <n v="1800"/>
    <n v="0.05"/>
    <n v="11970"/>
    <n v="8190"/>
    <n v="3780"/>
    <x v="3"/>
    <x v="9"/>
    <x v="2"/>
  </r>
  <r>
    <x v="501"/>
    <x v="330"/>
    <x v="4"/>
    <n v="1"/>
    <n v="3200"/>
    <n v="0"/>
    <n v="3200"/>
    <n v="2080"/>
    <n v="1120"/>
    <x v="3"/>
    <x v="3"/>
    <x v="0"/>
  </r>
  <r>
    <x v="502"/>
    <x v="331"/>
    <x v="3"/>
    <n v="4"/>
    <n v="12500"/>
    <n v="0.05"/>
    <n v="47500"/>
    <n v="32500"/>
    <n v="15000"/>
    <x v="3"/>
    <x v="10"/>
    <x v="1"/>
  </r>
  <r>
    <x v="503"/>
    <x v="276"/>
    <x v="9"/>
    <n v="2"/>
    <n v="1500"/>
    <n v="0.15"/>
    <n v="2550"/>
    <n v="1950"/>
    <n v="600"/>
    <x v="1"/>
    <x v="15"/>
    <x v="2"/>
  </r>
  <r>
    <x v="504"/>
    <x v="5"/>
    <x v="9"/>
    <n v="5"/>
    <n v="1500"/>
    <n v="0"/>
    <n v="7500"/>
    <n v="4875"/>
    <n v="2625"/>
    <x v="3"/>
    <x v="10"/>
    <x v="0"/>
  </r>
  <r>
    <x v="505"/>
    <x v="332"/>
    <x v="0"/>
    <n v="6"/>
    <n v="52000"/>
    <n v="0.2"/>
    <n v="249600"/>
    <n v="202800"/>
    <n v="46800"/>
    <x v="1"/>
    <x v="5"/>
    <x v="2"/>
  </r>
  <r>
    <x v="506"/>
    <x v="333"/>
    <x v="2"/>
    <n v="4"/>
    <n v="650"/>
    <n v="0.05"/>
    <n v="2470"/>
    <n v="1690"/>
    <n v="780"/>
    <x v="1"/>
    <x v="1"/>
    <x v="2"/>
  </r>
  <r>
    <x v="507"/>
    <x v="334"/>
    <x v="2"/>
    <n v="4"/>
    <n v="650"/>
    <n v="0.05"/>
    <n v="2470"/>
    <n v="1690"/>
    <n v="780"/>
    <x v="3"/>
    <x v="4"/>
    <x v="2"/>
  </r>
  <r>
    <x v="508"/>
    <x v="111"/>
    <x v="3"/>
    <n v="1"/>
    <n v="13125"/>
    <n v="0"/>
    <n v="13125"/>
    <n v="8531.25"/>
    <n v="4593.75"/>
    <x v="3"/>
    <x v="10"/>
    <x v="1"/>
  </r>
  <r>
    <x v="509"/>
    <x v="128"/>
    <x v="0"/>
    <n v="7"/>
    <n v="52000"/>
    <n v="0"/>
    <n v="364000"/>
    <n v="236600"/>
    <n v="127400"/>
    <x v="2"/>
    <x v="12"/>
    <x v="0"/>
  </r>
  <r>
    <x v="510"/>
    <x v="335"/>
    <x v="0"/>
    <n v="8"/>
    <n v="52000"/>
    <n v="0.15"/>
    <n v="353600"/>
    <n v="270400"/>
    <n v="83200"/>
    <x v="1"/>
    <x v="5"/>
    <x v="0"/>
  </r>
  <r>
    <x v="511"/>
    <x v="336"/>
    <x v="8"/>
    <n v="2"/>
    <n v="665"/>
    <n v="0.05"/>
    <n v="1263.5"/>
    <n v="864.5"/>
    <n v="399"/>
    <x v="1"/>
    <x v="13"/>
    <x v="1"/>
  </r>
  <r>
    <x v="512"/>
    <x v="337"/>
    <x v="4"/>
    <n v="4"/>
    <n v="3040"/>
    <n v="0.2"/>
    <n v="9728"/>
    <n v="7904"/>
    <n v="1824"/>
    <x v="2"/>
    <x v="11"/>
    <x v="0"/>
  </r>
  <r>
    <x v="513"/>
    <x v="338"/>
    <x v="0"/>
    <n v="6"/>
    <n v="54600"/>
    <n v="0"/>
    <n v="327600"/>
    <n v="212940"/>
    <n v="114660"/>
    <x v="1"/>
    <x v="13"/>
    <x v="1"/>
  </r>
  <r>
    <x v="514"/>
    <x v="339"/>
    <x v="7"/>
    <n v="4"/>
    <n v="2090"/>
    <n v="0.1"/>
    <n v="7524"/>
    <n v="5434"/>
    <n v="2090"/>
    <x v="2"/>
    <x v="14"/>
    <x v="2"/>
  </r>
  <r>
    <x v="515"/>
    <x v="340"/>
    <x v="4"/>
    <n v="1"/>
    <n v="3200"/>
    <n v="0.15"/>
    <n v="2720"/>
    <n v="2080"/>
    <n v="640"/>
    <x v="1"/>
    <x v="13"/>
    <x v="0"/>
  </r>
  <r>
    <x v="516"/>
    <x v="235"/>
    <x v="1"/>
    <n v="2"/>
    <n v="1710"/>
    <n v="0.1"/>
    <n v="3078"/>
    <n v="2223"/>
    <n v="855"/>
    <x v="1"/>
    <x v="5"/>
    <x v="0"/>
  </r>
  <r>
    <x v="517"/>
    <x v="53"/>
    <x v="1"/>
    <n v="5"/>
    <n v="1710"/>
    <n v="0.15"/>
    <n v="7267.5"/>
    <n v="5557.5"/>
    <n v="1710"/>
    <x v="2"/>
    <x v="14"/>
    <x v="0"/>
  </r>
  <r>
    <x v="518"/>
    <x v="341"/>
    <x v="6"/>
    <n v="4"/>
    <n v="9800"/>
    <n v="0.05"/>
    <n v="37240"/>
    <n v="25480"/>
    <n v="11760"/>
    <x v="2"/>
    <x v="12"/>
    <x v="0"/>
  </r>
  <r>
    <x v="519"/>
    <x v="108"/>
    <x v="7"/>
    <n v="1"/>
    <n v="2200"/>
    <n v="0.2"/>
    <n v="1760"/>
    <n v="1430"/>
    <n v="330"/>
    <x v="0"/>
    <x v="0"/>
    <x v="1"/>
  </r>
  <r>
    <x v="520"/>
    <x v="342"/>
    <x v="1"/>
    <n v="2"/>
    <n v="1890"/>
    <n v="0.1"/>
    <n v="3402"/>
    <n v="2457"/>
    <n v="945"/>
    <x v="0"/>
    <x v="6"/>
    <x v="1"/>
  </r>
  <r>
    <x v="521"/>
    <x v="327"/>
    <x v="5"/>
    <n v="3"/>
    <n v="2600"/>
    <n v="0.05"/>
    <n v="7410"/>
    <n v="5070"/>
    <n v="2340"/>
    <x v="0"/>
    <x v="6"/>
    <x v="1"/>
  </r>
  <r>
    <x v="522"/>
    <x v="15"/>
    <x v="9"/>
    <n v="8"/>
    <n v="1425"/>
    <n v="0.2"/>
    <n v="9120"/>
    <n v="7410"/>
    <n v="1710"/>
    <x v="1"/>
    <x v="5"/>
    <x v="0"/>
  </r>
  <r>
    <x v="523"/>
    <x v="343"/>
    <x v="7"/>
    <n v="4"/>
    <n v="2090"/>
    <n v="0.2"/>
    <n v="6688"/>
    <n v="5434"/>
    <n v="1254"/>
    <x v="2"/>
    <x v="12"/>
    <x v="2"/>
  </r>
  <r>
    <x v="524"/>
    <x v="326"/>
    <x v="3"/>
    <n v="5"/>
    <n v="11875"/>
    <n v="0.2"/>
    <n v="47500"/>
    <n v="38593.75"/>
    <n v="8906.25"/>
    <x v="1"/>
    <x v="1"/>
    <x v="2"/>
  </r>
  <r>
    <x v="525"/>
    <x v="344"/>
    <x v="6"/>
    <n v="5"/>
    <n v="9800"/>
    <n v="0.2"/>
    <n v="39200"/>
    <n v="31850"/>
    <n v="7350"/>
    <x v="0"/>
    <x v="6"/>
    <x v="2"/>
  </r>
  <r>
    <x v="526"/>
    <x v="345"/>
    <x v="9"/>
    <n v="6"/>
    <n v="1425"/>
    <n v="0.05"/>
    <n v="8122.5"/>
    <n v="5557.5"/>
    <n v="2565"/>
    <x v="0"/>
    <x v="8"/>
    <x v="2"/>
  </r>
  <r>
    <x v="527"/>
    <x v="316"/>
    <x v="9"/>
    <n v="8"/>
    <n v="1500"/>
    <n v="0.15"/>
    <n v="10200"/>
    <n v="7800"/>
    <n v="2400"/>
    <x v="2"/>
    <x v="12"/>
    <x v="2"/>
  </r>
  <r>
    <x v="528"/>
    <x v="346"/>
    <x v="5"/>
    <n v="3"/>
    <n v="2470"/>
    <n v="0.2"/>
    <n v="5928"/>
    <n v="4816.5"/>
    <n v="1111.5"/>
    <x v="1"/>
    <x v="5"/>
    <x v="1"/>
  </r>
  <r>
    <x v="529"/>
    <x v="347"/>
    <x v="7"/>
    <n v="2"/>
    <n v="2090"/>
    <n v="0"/>
    <n v="4180"/>
    <n v="2717"/>
    <n v="1463"/>
    <x v="1"/>
    <x v="15"/>
    <x v="0"/>
  </r>
  <r>
    <x v="530"/>
    <x v="348"/>
    <x v="0"/>
    <n v="8"/>
    <n v="52000"/>
    <n v="0.05"/>
    <n v="395200"/>
    <n v="270400"/>
    <n v="124800"/>
    <x v="3"/>
    <x v="10"/>
    <x v="1"/>
  </r>
  <r>
    <x v="531"/>
    <x v="176"/>
    <x v="9"/>
    <n v="2"/>
    <n v="1575"/>
    <n v="0.15"/>
    <n v="2677.5"/>
    <n v="2047.5"/>
    <n v="630"/>
    <x v="3"/>
    <x v="9"/>
    <x v="0"/>
  </r>
  <r>
    <x v="532"/>
    <x v="106"/>
    <x v="1"/>
    <n v="3"/>
    <n v="1800"/>
    <n v="0.15"/>
    <n v="4590"/>
    <n v="3510"/>
    <n v="1080"/>
    <x v="0"/>
    <x v="7"/>
    <x v="0"/>
  </r>
  <r>
    <x v="533"/>
    <x v="349"/>
    <x v="6"/>
    <n v="1"/>
    <n v="9800"/>
    <n v="0.05"/>
    <n v="9310"/>
    <n v="6370"/>
    <n v="2940"/>
    <x v="2"/>
    <x v="2"/>
    <x v="1"/>
  </r>
  <r>
    <x v="534"/>
    <x v="5"/>
    <x v="8"/>
    <n v="1"/>
    <n v="700"/>
    <n v="0.05"/>
    <n v="665"/>
    <n v="455"/>
    <n v="210"/>
    <x v="3"/>
    <x v="10"/>
    <x v="2"/>
  </r>
  <r>
    <x v="535"/>
    <x v="323"/>
    <x v="0"/>
    <n v="6"/>
    <n v="49400"/>
    <n v="0"/>
    <n v="296400"/>
    <n v="192660"/>
    <n v="103740"/>
    <x v="3"/>
    <x v="4"/>
    <x v="0"/>
  </r>
  <r>
    <x v="536"/>
    <x v="131"/>
    <x v="4"/>
    <n v="6"/>
    <n v="3360"/>
    <n v="0.2"/>
    <n v="16128"/>
    <n v="13104"/>
    <n v="3024"/>
    <x v="1"/>
    <x v="5"/>
    <x v="2"/>
  </r>
  <r>
    <x v="537"/>
    <x v="209"/>
    <x v="5"/>
    <n v="6"/>
    <n v="2730"/>
    <n v="0.1"/>
    <n v="14742"/>
    <n v="10647"/>
    <n v="4095"/>
    <x v="2"/>
    <x v="14"/>
    <x v="0"/>
  </r>
  <r>
    <x v="538"/>
    <x v="225"/>
    <x v="5"/>
    <n v="8"/>
    <n v="2600"/>
    <n v="0.05"/>
    <n v="19760"/>
    <n v="13520"/>
    <n v="6240"/>
    <x v="0"/>
    <x v="0"/>
    <x v="0"/>
  </r>
  <r>
    <x v="539"/>
    <x v="239"/>
    <x v="3"/>
    <n v="3"/>
    <n v="12500"/>
    <n v="0.05"/>
    <n v="35625"/>
    <n v="24375"/>
    <n v="11250"/>
    <x v="3"/>
    <x v="9"/>
    <x v="0"/>
  </r>
  <r>
    <x v="540"/>
    <x v="350"/>
    <x v="4"/>
    <n v="2"/>
    <n v="3200"/>
    <n v="0.15"/>
    <n v="5440"/>
    <n v="4160"/>
    <n v="1280"/>
    <x v="2"/>
    <x v="14"/>
    <x v="1"/>
  </r>
  <r>
    <x v="541"/>
    <x v="351"/>
    <x v="4"/>
    <n v="4"/>
    <n v="3040"/>
    <n v="0"/>
    <n v="12160"/>
    <n v="7904"/>
    <n v="4256"/>
    <x v="0"/>
    <x v="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F5AEB-A97F-4059-8891-08BB7B79CA4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R4:S9" firstHeaderRow="1" firstDataRow="1" firstDataCol="1"/>
  <pivotFields count="14">
    <pivotField dataField="1" showAll="0">
      <items count="5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umFmtId="164" showAll="0">
      <items count="353">
        <item x="342"/>
        <item x="225"/>
        <item x="117"/>
        <item x="275"/>
        <item x="28"/>
        <item x="228"/>
        <item x="321"/>
        <item x="195"/>
        <item x="70"/>
        <item x="96"/>
        <item x="280"/>
        <item x="45"/>
        <item x="174"/>
        <item x="66"/>
        <item x="283"/>
        <item x="65"/>
        <item x="281"/>
        <item x="341"/>
        <item x="172"/>
        <item x="119"/>
        <item x="303"/>
        <item x="98"/>
        <item x="284"/>
        <item x="95"/>
        <item x="277"/>
        <item x="43"/>
        <item x="200"/>
        <item x="310"/>
        <item x="325"/>
        <item x="224"/>
        <item x="67"/>
        <item x="40"/>
        <item x="69"/>
        <item x="252"/>
        <item x="85"/>
        <item x="144"/>
        <item x="170"/>
        <item x="207"/>
        <item x="285"/>
        <item x="89"/>
        <item x="31"/>
        <item x="294"/>
        <item x="235"/>
        <item x="14"/>
        <item x="343"/>
        <item x="289"/>
        <item x="110"/>
        <item x="48"/>
        <item x="23"/>
        <item x="232"/>
        <item x="276"/>
        <item x="270"/>
        <item x="216"/>
        <item x="168"/>
        <item x="61"/>
        <item x="253"/>
        <item x="55"/>
        <item x="240"/>
        <item x="76"/>
        <item x="1"/>
        <item x="300"/>
        <item x="261"/>
        <item x="36"/>
        <item x="297"/>
        <item x="233"/>
        <item x="44"/>
        <item x="139"/>
        <item x="97"/>
        <item x="46"/>
        <item x="244"/>
        <item x="130"/>
        <item x="143"/>
        <item x="0"/>
        <item x="204"/>
        <item x="313"/>
        <item x="15"/>
        <item x="249"/>
        <item x="256"/>
        <item x="191"/>
        <item x="33"/>
        <item x="324"/>
        <item x="163"/>
        <item x="127"/>
        <item x="122"/>
        <item x="134"/>
        <item x="326"/>
        <item x="178"/>
        <item x="35"/>
        <item x="262"/>
        <item x="59"/>
        <item x="190"/>
        <item x="236"/>
        <item x="173"/>
        <item x="250"/>
        <item x="177"/>
        <item x="223"/>
        <item x="93"/>
        <item x="113"/>
        <item x="108"/>
        <item x="104"/>
        <item x="349"/>
        <item x="56"/>
        <item x="296"/>
        <item x="42"/>
        <item x="264"/>
        <item x="338"/>
        <item x="332"/>
        <item x="141"/>
        <item x="271"/>
        <item x="307"/>
        <item x="188"/>
        <item x="291"/>
        <item x="351"/>
        <item x="157"/>
        <item x="292"/>
        <item x="251"/>
        <item x="288"/>
        <item x="257"/>
        <item x="317"/>
        <item x="248"/>
        <item x="131"/>
        <item x="213"/>
        <item x="238"/>
        <item x="339"/>
        <item x="112"/>
        <item x="118"/>
        <item x="336"/>
        <item x="158"/>
        <item x="57"/>
        <item x="222"/>
        <item x="347"/>
        <item x="72"/>
        <item x="159"/>
        <item x="21"/>
        <item x="167"/>
        <item x="260"/>
        <item x="268"/>
        <item x="218"/>
        <item x="184"/>
        <item x="295"/>
        <item x="348"/>
        <item x="337"/>
        <item x="156"/>
        <item x="83"/>
        <item x="212"/>
        <item x="71"/>
        <item x="282"/>
        <item x="221"/>
        <item x="279"/>
        <item x="209"/>
        <item x="161"/>
        <item x="22"/>
        <item x="88"/>
        <item x="311"/>
        <item x="350"/>
        <item x="202"/>
        <item x="7"/>
        <item x="92"/>
        <item x="116"/>
        <item x="24"/>
        <item x="106"/>
        <item x="90"/>
        <item x="19"/>
        <item x="128"/>
        <item x="185"/>
        <item x="274"/>
        <item x="210"/>
        <item x="27"/>
        <item x="278"/>
        <item x="329"/>
        <item x="82"/>
        <item x="312"/>
        <item x="165"/>
        <item x="137"/>
        <item x="150"/>
        <item x="121"/>
        <item x="304"/>
        <item x="49"/>
        <item x="41"/>
        <item x="12"/>
        <item x="5"/>
        <item x="293"/>
        <item x="199"/>
        <item x="3"/>
        <item x="78"/>
        <item x="239"/>
        <item x="39"/>
        <item x="335"/>
        <item x="86"/>
        <item x="30"/>
        <item x="162"/>
        <item x="114"/>
        <item x="254"/>
        <item x="176"/>
        <item x="103"/>
        <item x="111"/>
        <item x="80"/>
        <item x="52"/>
        <item x="315"/>
        <item x="198"/>
        <item x="302"/>
        <item x="38"/>
        <item x="298"/>
        <item x="53"/>
        <item x="205"/>
        <item x="182"/>
        <item x="322"/>
        <item x="47"/>
        <item x="305"/>
        <item x="193"/>
        <item x="148"/>
        <item x="263"/>
        <item x="50"/>
        <item x="10"/>
        <item x="186"/>
        <item x="54"/>
        <item x="18"/>
        <item x="246"/>
        <item x="145"/>
        <item x="129"/>
        <item x="107"/>
        <item x="166"/>
        <item x="192"/>
        <item x="237"/>
        <item x="4"/>
        <item x="183"/>
        <item x="153"/>
        <item x="136"/>
        <item x="318"/>
        <item x="309"/>
        <item x="229"/>
        <item x="164"/>
        <item x="197"/>
        <item x="8"/>
        <item x="333"/>
        <item x="219"/>
        <item x="316"/>
        <item x="84"/>
        <item x="6"/>
        <item x="126"/>
        <item x="255"/>
        <item x="140"/>
        <item x="37"/>
        <item x="125"/>
        <item x="272"/>
        <item x="206"/>
        <item x="241"/>
        <item x="231"/>
        <item x="301"/>
        <item x="217"/>
        <item x="68"/>
        <item x="234"/>
        <item x="328"/>
        <item x="265"/>
        <item x="319"/>
        <item x="154"/>
        <item x="330"/>
        <item x="247"/>
        <item x="63"/>
        <item x="64"/>
        <item x="287"/>
        <item x="266"/>
        <item x="189"/>
        <item x="286"/>
        <item x="230"/>
        <item x="109"/>
        <item x="29"/>
        <item x="267"/>
        <item x="334"/>
        <item x="340"/>
        <item x="227"/>
        <item x="79"/>
        <item x="102"/>
        <item x="26"/>
        <item x="258"/>
        <item x="327"/>
        <item x="62"/>
        <item x="120"/>
        <item x="214"/>
        <item x="211"/>
        <item x="208"/>
        <item x="115"/>
        <item x="58"/>
        <item x="245"/>
        <item x="345"/>
        <item x="308"/>
        <item x="135"/>
        <item x="138"/>
        <item x="51"/>
        <item x="147"/>
        <item x="171"/>
        <item x="60"/>
        <item x="142"/>
        <item x="331"/>
        <item x="169"/>
        <item x="175"/>
        <item x="320"/>
        <item x="132"/>
        <item x="151"/>
        <item x="243"/>
        <item x="16"/>
        <item x="323"/>
        <item x="242"/>
        <item x="306"/>
        <item x="146"/>
        <item x="9"/>
        <item x="123"/>
        <item x="273"/>
        <item x="187"/>
        <item x="94"/>
        <item x="220"/>
        <item x="91"/>
        <item x="201"/>
        <item x="25"/>
        <item x="20"/>
        <item x="152"/>
        <item x="87"/>
        <item x="290"/>
        <item x="194"/>
        <item x="314"/>
        <item x="105"/>
        <item x="101"/>
        <item x="344"/>
        <item x="346"/>
        <item x="259"/>
        <item x="74"/>
        <item x="124"/>
        <item x="13"/>
        <item x="77"/>
        <item x="203"/>
        <item x="269"/>
        <item x="100"/>
        <item x="11"/>
        <item x="196"/>
        <item x="226"/>
        <item x="2"/>
        <item x="299"/>
        <item x="17"/>
        <item x="32"/>
        <item x="149"/>
        <item x="160"/>
        <item x="99"/>
        <item x="179"/>
        <item x="180"/>
        <item x="181"/>
        <item x="133"/>
        <item x="75"/>
        <item x="34"/>
        <item x="155"/>
        <item x="215"/>
        <item x="81"/>
        <item x="73"/>
        <item t="default"/>
      </items>
    </pivotField>
    <pivotField showAll="0">
      <items count="14">
        <item m="1" x="11"/>
        <item m="1" x="12"/>
        <item m="1" x="10"/>
        <item x="7"/>
        <item x="9"/>
        <item x="0"/>
        <item x="3"/>
        <item x="2"/>
        <item x="6"/>
        <item x="5"/>
        <item x="1"/>
        <item x="8"/>
        <item x="4"/>
        <item t="default"/>
      </items>
    </pivotField>
    <pivotField showAll="0"/>
    <pivotField numFmtId="4" showAll="0"/>
    <pivotField numFmtId="9" showAll="0"/>
    <pivotField numFmtId="4" showAll="0"/>
    <pivotField numFmtId="4" showAll="0"/>
    <pivotField numFmtId="4" showAll="0"/>
    <pivotField axis="axisRow" showAll="0">
      <items count="5">
        <item x="2"/>
        <item x="1"/>
        <item x="0"/>
        <item x="3"/>
        <item t="default"/>
      </items>
    </pivotField>
    <pivotField showAll="0">
      <items count="17">
        <item x="4"/>
        <item x="0"/>
        <item x="12"/>
        <item x="1"/>
        <item x="7"/>
        <item x="13"/>
        <item x="6"/>
        <item x="5"/>
        <item x="8"/>
        <item x="11"/>
        <item x="15"/>
        <item x="9"/>
        <item x="2"/>
        <item x="3"/>
        <item x="14"/>
        <item x="1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Order ID" fld="0" subtotal="count" baseField="9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9" type="button" dataOnly="0" labelOnly="1" outline="0" axis="axisRow" fieldPosition="0"/>
    </format>
    <format dxfId="14">
      <pivotArea dataOnly="0" labelOnly="1" fieldPosition="0">
        <references count="1">
          <reference field="9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9" type="button" dataOnly="0" labelOnly="1" outline="0" axis="axisRow" fieldPosition="0"/>
    </format>
    <format dxfId="8">
      <pivotArea dataOnly="0" labelOnly="1" fieldPosition="0">
        <references count="1">
          <reference field="9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B74C7-16AB-4B88-AD3A-8D9AB76E59B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hannel">
  <location ref="C4:D8" firstHeaderRow="1" firstDataRow="1" firstDataCol="1"/>
  <pivotFields count="14">
    <pivotField dataField="1" showAll="0">
      <items count="5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umFmtId="164" showAll="0">
      <items count="353">
        <item x="342"/>
        <item x="225"/>
        <item x="117"/>
        <item x="275"/>
        <item x="28"/>
        <item x="228"/>
        <item x="321"/>
        <item x="195"/>
        <item x="70"/>
        <item x="96"/>
        <item x="280"/>
        <item x="45"/>
        <item x="174"/>
        <item x="66"/>
        <item x="283"/>
        <item x="65"/>
        <item x="281"/>
        <item x="341"/>
        <item x="172"/>
        <item x="119"/>
        <item x="303"/>
        <item x="98"/>
        <item x="284"/>
        <item x="95"/>
        <item x="277"/>
        <item x="43"/>
        <item x="200"/>
        <item x="310"/>
        <item x="325"/>
        <item x="224"/>
        <item x="67"/>
        <item x="40"/>
        <item x="69"/>
        <item x="252"/>
        <item x="85"/>
        <item x="144"/>
        <item x="170"/>
        <item x="207"/>
        <item x="285"/>
        <item x="89"/>
        <item x="31"/>
        <item x="294"/>
        <item x="235"/>
        <item x="14"/>
        <item x="343"/>
        <item x="289"/>
        <item x="110"/>
        <item x="48"/>
        <item x="23"/>
        <item x="232"/>
        <item x="276"/>
        <item x="270"/>
        <item x="216"/>
        <item x="168"/>
        <item x="61"/>
        <item x="253"/>
        <item x="55"/>
        <item x="240"/>
        <item x="76"/>
        <item x="1"/>
        <item x="300"/>
        <item x="261"/>
        <item x="36"/>
        <item x="297"/>
        <item x="233"/>
        <item x="44"/>
        <item x="139"/>
        <item x="97"/>
        <item x="46"/>
        <item x="244"/>
        <item x="130"/>
        <item x="143"/>
        <item x="0"/>
        <item x="204"/>
        <item x="313"/>
        <item x="15"/>
        <item x="249"/>
        <item x="256"/>
        <item x="191"/>
        <item x="33"/>
        <item x="324"/>
        <item x="163"/>
        <item x="127"/>
        <item x="122"/>
        <item x="134"/>
        <item x="326"/>
        <item x="178"/>
        <item x="35"/>
        <item x="262"/>
        <item x="59"/>
        <item x="190"/>
        <item x="236"/>
        <item x="173"/>
        <item x="250"/>
        <item x="177"/>
        <item x="223"/>
        <item x="93"/>
        <item x="113"/>
        <item x="108"/>
        <item x="104"/>
        <item x="349"/>
        <item x="56"/>
        <item x="296"/>
        <item x="42"/>
        <item x="264"/>
        <item x="338"/>
        <item x="332"/>
        <item x="141"/>
        <item x="271"/>
        <item x="307"/>
        <item x="188"/>
        <item x="291"/>
        <item x="351"/>
        <item x="157"/>
        <item x="292"/>
        <item x="251"/>
        <item x="288"/>
        <item x="257"/>
        <item x="317"/>
        <item x="248"/>
        <item x="131"/>
        <item x="213"/>
        <item x="238"/>
        <item x="339"/>
        <item x="112"/>
        <item x="118"/>
        <item x="336"/>
        <item x="158"/>
        <item x="57"/>
        <item x="222"/>
        <item x="347"/>
        <item x="72"/>
        <item x="159"/>
        <item x="21"/>
        <item x="167"/>
        <item x="260"/>
        <item x="268"/>
        <item x="218"/>
        <item x="184"/>
        <item x="295"/>
        <item x="348"/>
        <item x="337"/>
        <item x="156"/>
        <item x="83"/>
        <item x="212"/>
        <item x="71"/>
        <item x="282"/>
        <item x="221"/>
        <item x="279"/>
        <item x="209"/>
        <item x="161"/>
        <item x="22"/>
        <item x="88"/>
        <item x="311"/>
        <item x="350"/>
        <item x="202"/>
        <item x="7"/>
        <item x="92"/>
        <item x="116"/>
        <item x="24"/>
        <item x="106"/>
        <item x="90"/>
        <item x="19"/>
        <item x="128"/>
        <item x="185"/>
        <item x="274"/>
        <item x="210"/>
        <item x="27"/>
        <item x="278"/>
        <item x="329"/>
        <item x="82"/>
        <item x="312"/>
        <item x="165"/>
        <item x="137"/>
        <item x="150"/>
        <item x="121"/>
        <item x="304"/>
        <item x="49"/>
        <item x="41"/>
        <item x="12"/>
        <item x="5"/>
        <item x="293"/>
        <item x="199"/>
        <item x="3"/>
        <item x="78"/>
        <item x="239"/>
        <item x="39"/>
        <item x="335"/>
        <item x="86"/>
        <item x="30"/>
        <item x="162"/>
        <item x="114"/>
        <item x="254"/>
        <item x="176"/>
        <item x="103"/>
        <item x="111"/>
        <item x="80"/>
        <item x="52"/>
        <item x="315"/>
        <item x="198"/>
        <item x="302"/>
        <item x="38"/>
        <item x="298"/>
        <item x="53"/>
        <item x="205"/>
        <item x="182"/>
        <item x="322"/>
        <item x="47"/>
        <item x="305"/>
        <item x="193"/>
        <item x="148"/>
        <item x="263"/>
        <item x="50"/>
        <item x="10"/>
        <item x="186"/>
        <item x="54"/>
        <item x="18"/>
        <item x="246"/>
        <item x="145"/>
        <item x="129"/>
        <item x="107"/>
        <item x="166"/>
        <item x="192"/>
        <item x="237"/>
        <item x="4"/>
        <item x="183"/>
        <item x="153"/>
        <item x="136"/>
        <item x="318"/>
        <item x="309"/>
        <item x="229"/>
        <item x="164"/>
        <item x="197"/>
        <item x="8"/>
        <item x="333"/>
        <item x="219"/>
        <item x="316"/>
        <item x="84"/>
        <item x="6"/>
        <item x="126"/>
        <item x="255"/>
        <item x="140"/>
        <item x="37"/>
        <item x="125"/>
        <item x="272"/>
        <item x="206"/>
        <item x="241"/>
        <item x="231"/>
        <item x="301"/>
        <item x="217"/>
        <item x="68"/>
        <item x="234"/>
        <item x="328"/>
        <item x="265"/>
        <item x="319"/>
        <item x="154"/>
        <item x="330"/>
        <item x="247"/>
        <item x="63"/>
        <item x="64"/>
        <item x="287"/>
        <item x="266"/>
        <item x="189"/>
        <item x="286"/>
        <item x="230"/>
        <item x="109"/>
        <item x="29"/>
        <item x="267"/>
        <item x="334"/>
        <item x="340"/>
        <item x="227"/>
        <item x="79"/>
        <item x="102"/>
        <item x="26"/>
        <item x="258"/>
        <item x="327"/>
        <item x="62"/>
        <item x="120"/>
        <item x="214"/>
        <item x="211"/>
        <item x="208"/>
        <item x="115"/>
        <item x="58"/>
        <item x="245"/>
        <item x="345"/>
        <item x="308"/>
        <item x="135"/>
        <item x="138"/>
        <item x="51"/>
        <item x="147"/>
        <item x="171"/>
        <item x="60"/>
        <item x="142"/>
        <item x="331"/>
        <item x="169"/>
        <item x="175"/>
        <item x="320"/>
        <item x="132"/>
        <item x="151"/>
        <item x="243"/>
        <item x="16"/>
        <item x="323"/>
        <item x="242"/>
        <item x="306"/>
        <item x="146"/>
        <item x="9"/>
        <item x="123"/>
        <item x="273"/>
        <item x="187"/>
        <item x="94"/>
        <item x="220"/>
        <item x="91"/>
        <item x="201"/>
        <item x="25"/>
        <item x="20"/>
        <item x="152"/>
        <item x="87"/>
        <item x="290"/>
        <item x="194"/>
        <item x="314"/>
        <item x="105"/>
        <item x="101"/>
        <item x="344"/>
        <item x="346"/>
        <item x="259"/>
        <item x="74"/>
        <item x="124"/>
        <item x="13"/>
        <item x="77"/>
        <item x="203"/>
        <item x="269"/>
        <item x="100"/>
        <item x="11"/>
        <item x="196"/>
        <item x="226"/>
        <item x="2"/>
        <item x="299"/>
        <item x="17"/>
        <item x="32"/>
        <item x="149"/>
        <item x="160"/>
        <item x="99"/>
        <item x="179"/>
        <item x="180"/>
        <item x="181"/>
        <item x="133"/>
        <item x="75"/>
        <item x="34"/>
        <item x="155"/>
        <item x="215"/>
        <item x="81"/>
        <item x="73"/>
        <item t="default"/>
      </items>
    </pivotField>
    <pivotField showAll="0">
      <items count="14">
        <item m="1" x="11"/>
        <item m="1" x="12"/>
        <item m="1" x="10"/>
        <item x="7"/>
        <item x="9"/>
        <item x="0"/>
        <item x="3"/>
        <item x="2"/>
        <item x="6"/>
        <item x="5"/>
        <item x="1"/>
        <item x="8"/>
        <item x="4"/>
        <item t="default"/>
      </items>
    </pivotField>
    <pivotField showAll="0"/>
    <pivotField numFmtId="4" showAll="0"/>
    <pivotField numFmtId="9" showAll="0"/>
    <pivotField numFmtId="4" showAll="0"/>
    <pivotField numFmtId="4" showAll="0"/>
    <pivotField numFmtId="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_Order_ID" fld="0" subtotal="count" baseField="11" baseItem="0"/>
  </dataFields>
  <formats count="18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1" type="button" dataOnly="0" labelOnly="1" outline="0" axis="axisRow" fieldPosition="0"/>
    </format>
    <format dxfId="32">
      <pivotArea dataOnly="0" labelOnly="1" fieldPosition="0">
        <references count="1">
          <reference field="11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1" type="button" dataOnly="0" labelOnly="1" outline="0" axis="axisRow" fieldPosition="0"/>
    </format>
    <format dxfId="26">
      <pivotArea dataOnly="0" labelOnly="1" fieldPosition="0">
        <references count="1">
          <reference field="11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1" type="button" dataOnly="0" labelOnly="1" outline="0" axis="axisRow" fieldPosition="0"/>
    </format>
    <format dxfId="20">
      <pivotArea dataOnly="0" labelOnly="1" fieldPosition="0">
        <references count="1">
          <reference field="1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0196E-28EC-46A0-9644-6D5829C075F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M4:N9" firstHeaderRow="1" firstDataRow="1" firstDataCol="1"/>
  <pivotFields count="14">
    <pivotField showAll="0"/>
    <pivotField numFmtId="164" showAll="0">
      <items count="353">
        <item x="342"/>
        <item x="225"/>
        <item x="117"/>
        <item x="275"/>
        <item x="28"/>
        <item x="228"/>
        <item x="321"/>
        <item x="195"/>
        <item x="70"/>
        <item x="96"/>
        <item x="280"/>
        <item x="45"/>
        <item x="174"/>
        <item x="66"/>
        <item x="283"/>
        <item x="65"/>
        <item x="281"/>
        <item x="341"/>
        <item x="172"/>
        <item x="119"/>
        <item x="303"/>
        <item x="98"/>
        <item x="284"/>
        <item x="95"/>
        <item x="277"/>
        <item x="43"/>
        <item x="200"/>
        <item x="310"/>
        <item x="325"/>
        <item x="224"/>
        <item x="67"/>
        <item x="40"/>
        <item x="69"/>
        <item x="252"/>
        <item x="85"/>
        <item x="144"/>
        <item x="170"/>
        <item x="207"/>
        <item x="285"/>
        <item x="89"/>
        <item x="31"/>
        <item x="294"/>
        <item x="235"/>
        <item x="14"/>
        <item x="343"/>
        <item x="289"/>
        <item x="110"/>
        <item x="48"/>
        <item x="23"/>
        <item x="232"/>
        <item x="276"/>
        <item x="270"/>
        <item x="216"/>
        <item x="168"/>
        <item x="61"/>
        <item x="253"/>
        <item x="55"/>
        <item x="240"/>
        <item x="76"/>
        <item x="1"/>
        <item x="300"/>
        <item x="261"/>
        <item x="36"/>
        <item x="297"/>
        <item x="233"/>
        <item x="44"/>
        <item x="139"/>
        <item x="97"/>
        <item x="46"/>
        <item x="244"/>
        <item x="130"/>
        <item x="143"/>
        <item x="0"/>
        <item x="204"/>
        <item x="313"/>
        <item x="15"/>
        <item x="249"/>
        <item x="256"/>
        <item x="191"/>
        <item x="33"/>
        <item x="324"/>
        <item x="163"/>
        <item x="127"/>
        <item x="122"/>
        <item x="134"/>
        <item x="326"/>
        <item x="178"/>
        <item x="35"/>
        <item x="262"/>
        <item x="59"/>
        <item x="190"/>
        <item x="236"/>
        <item x="173"/>
        <item x="250"/>
        <item x="177"/>
        <item x="223"/>
        <item x="93"/>
        <item x="113"/>
        <item x="108"/>
        <item x="104"/>
        <item x="349"/>
        <item x="56"/>
        <item x="296"/>
        <item x="42"/>
        <item x="264"/>
        <item x="338"/>
        <item x="332"/>
        <item x="141"/>
        <item x="271"/>
        <item x="307"/>
        <item x="188"/>
        <item x="291"/>
        <item x="351"/>
        <item x="157"/>
        <item x="292"/>
        <item x="251"/>
        <item x="288"/>
        <item x="257"/>
        <item x="317"/>
        <item x="248"/>
        <item x="131"/>
        <item x="213"/>
        <item x="238"/>
        <item x="339"/>
        <item x="112"/>
        <item x="118"/>
        <item x="336"/>
        <item x="158"/>
        <item x="57"/>
        <item x="222"/>
        <item x="347"/>
        <item x="72"/>
        <item x="159"/>
        <item x="21"/>
        <item x="167"/>
        <item x="260"/>
        <item x="268"/>
        <item x="218"/>
        <item x="184"/>
        <item x="295"/>
        <item x="348"/>
        <item x="337"/>
        <item x="156"/>
        <item x="83"/>
        <item x="212"/>
        <item x="71"/>
        <item x="282"/>
        <item x="221"/>
        <item x="279"/>
        <item x="209"/>
        <item x="161"/>
        <item x="22"/>
        <item x="88"/>
        <item x="311"/>
        <item x="350"/>
        <item x="202"/>
        <item x="7"/>
        <item x="92"/>
        <item x="116"/>
        <item x="24"/>
        <item x="106"/>
        <item x="90"/>
        <item x="19"/>
        <item x="128"/>
        <item x="185"/>
        <item x="274"/>
        <item x="210"/>
        <item x="27"/>
        <item x="278"/>
        <item x="329"/>
        <item x="82"/>
        <item x="312"/>
        <item x="165"/>
        <item x="137"/>
        <item x="150"/>
        <item x="121"/>
        <item x="304"/>
        <item x="49"/>
        <item x="41"/>
        <item x="12"/>
        <item x="5"/>
        <item x="293"/>
        <item x="199"/>
        <item x="3"/>
        <item x="78"/>
        <item x="239"/>
        <item x="39"/>
        <item x="335"/>
        <item x="86"/>
        <item x="30"/>
        <item x="162"/>
        <item x="114"/>
        <item x="254"/>
        <item x="176"/>
        <item x="103"/>
        <item x="111"/>
        <item x="80"/>
        <item x="52"/>
        <item x="315"/>
        <item x="198"/>
        <item x="302"/>
        <item x="38"/>
        <item x="298"/>
        <item x="53"/>
        <item x="205"/>
        <item x="182"/>
        <item x="322"/>
        <item x="47"/>
        <item x="305"/>
        <item x="193"/>
        <item x="148"/>
        <item x="263"/>
        <item x="50"/>
        <item x="10"/>
        <item x="186"/>
        <item x="54"/>
        <item x="18"/>
        <item x="246"/>
        <item x="145"/>
        <item x="129"/>
        <item x="107"/>
        <item x="166"/>
        <item x="192"/>
        <item x="237"/>
        <item x="4"/>
        <item x="183"/>
        <item x="153"/>
        <item x="136"/>
        <item x="318"/>
        <item x="309"/>
        <item x="229"/>
        <item x="164"/>
        <item x="197"/>
        <item x="8"/>
        <item x="333"/>
        <item x="219"/>
        <item x="316"/>
        <item x="84"/>
        <item x="6"/>
        <item x="126"/>
        <item x="255"/>
        <item x="140"/>
        <item x="37"/>
        <item x="125"/>
        <item x="272"/>
        <item x="206"/>
        <item x="241"/>
        <item x="231"/>
        <item x="301"/>
        <item x="217"/>
        <item x="68"/>
        <item x="234"/>
        <item x="328"/>
        <item x="265"/>
        <item x="319"/>
        <item x="154"/>
        <item x="330"/>
        <item x="247"/>
        <item x="63"/>
        <item x="64"/>
        <item x="287"/>
        <item x="266"/>
        <item x="189"/>
        <item x="286"/>
        <item x="230"/>
        <item x="109"/>
        <item x="29"/>
        <item x="267"/>
        <item x="334"/>
        <item x="340"/>
        <item x="227"/>
        <item x="79"/>
        <item x="102"/>
        <item x="26"/>
        <item x="258"/>
        <item x="327"/>
        <item x="62"/>
        <item x="120"/>
        <item x="214"/>
        <item x="211"/>
        <item x="208"/>
        <item x="115"/>
        <item x="58"/>
        <item x="245"/>
        <item x="345"/>
        <item x="308"/>
        <item x="135"/>
        <item x="138"/>
        <item x="51"/>
        <item x="147"/>
        <item x="171"/>
        <item x="60"/>
        <item x="142"/>
        <item x="331"/>
        <item x="169"/>
        <item x="175"/>
        <item x="320"/>
        <item x="132"/>
        <item x="151"/>
        <item x="243"/>
        <item x="16"/>
        <item x="323"/>
        <item x="242"/>
        <item x="306"/>
        <item x="146"/>
        <item x="9"/>
        <item x="123"/>
        <item x="273"/>
        <item x="187"/>
        <item x="94"/>
        <item x="220"/>
        <item x="91"/>
        <item x="201"/>
        <item x="25"/>
        <item x="20"/>
        <item x="152"/>
        <item x="87"/>
        <item x="290"/>
        <item x="194"/>
        <item x="314"/>
        <item x="105"/>
        <item x="101"/>
        <item x="344"/>
        <item x="346"/>
        <item x="259"/>
        <item x="74"/>
        <item x="124"/>
        <item x="13"/>
        <item x="77"/>
        <item x="203"/>
        <item x="269"/>
        <item x="100"/>
        <item x="11"/>
        <item x="196"/>
        <item x="226"/>
        <item x="2"/>
        <item x="299"/>
        <item x="17"/>
        <item x="32"/>
        <item x="149"/>
        <item x="160"/>
        <item x="99"/>
        <item x="179"/>
        <item x="180"/>
        <item x="181"/>
        <item x="133"/>
        <item x="75"/>
        <item x="34"/>
        <item x="155"/>
        <item x="215"/>
        <item x="81"/>
        <item x="73"/>
        <item t="default"/>
      </items>
    </pivotField>
    <pivotField showAll="0"/>
    <pivotField showAll="0"/>
    <pivotField numFmtId="4" showAll="0"/>
    <pivotField numFmtId="9" showAll="0"/>
    <pivotField dataField="1" numFmtId="4" showAll="0"/>
    <pivotField numFmtId="4" showAll="0"/>
    <pivotField numFmtId="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 Revenue" fld="6" baseField="9" baseItem="0" numFmtId="44"/>
  </dataFields>
  <formats count="14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9" type="button" dataOnly="0" labelOnly="1" outline="0" axis="axisRow" fieldPosition="0"/>
    </format>
    <format dxfId="46">
      <pivotArea dataOnly="0" labelOnly="1" fieldPosition="0">
        <references count="1">
          <reference field="9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9" type="button" dataOnly="0" labelOnly="1" outline="0" axis="axisRow" fieldPosition="0"/>
    </format>
    <format dxfId="40">
      <pivotArea dataOnly="0" labelOnly="1" fieldPosition="0">
        <references count="1">
          <reference field="9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collapsedLevelsAreSubtotals="1" fieldPosition="0">
        <references count="1">
          <reference field="9" count="1">
            <x v="0"/>
          </reference>
        </references>
      </pivotArea>
    </format>
    <format dxfId="3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A35CD-47AF-49EA-BE66-B134F416E76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ate">
  <location ref="H4:I25" firstHeaderRow="1" firstDataRow="1" firstDataCol="1"/>
  <pivotFields count="14">
    <pivotField showAll="0"/>
    <pivotField numFmtId="164" showAll="0">
      <items count="353">
        <item x="342"/>
        <item x="225"/>
        <item x="117"/>
        <item x="275"/>
        <item x="28"/>
        <item x="228"/>
        <item x="321"/>
        <item x="195"/>
        <item x="70"/>
        <item x="96"/>
        <item x="280"/>
        <item x="45"/>
        <item x="174"/>
        <item x="66"/>
        <item x="283"/>
        <item x="65"/>
        <item x="281"/>
        <item x="341"/>
        <item x="172"/>
        <item x="119"/>
        <item x="303"/>
        <item x="98"/>
        <item x="284"/>
        <item x="95"/>
        <item x="277"/>
        <item x="43"/>
        <item x="200"/>
        <item x="310"/>
        <item x="325"/>
        <item x="224"/>
        <item x="67"/>
        <item x="40"/>
        <item x="69"/>
        <item x="252"/>
        <item x="85"/>
        <item x="144"/>
        <item x="170"/>
        <item x="207"/>
        <item x="285"/>
        <item x="89"/>
        <item x="31"/>
        <item x="294"/>
        <item x="235"/>
        <item x="14"/>
        <item x="343"/>
        <item x="289"/>
        <item x="110"/>
        <item x="48"/>
        <item x="23"/>
        <item x="232"/>
        <item x="276"/>
        <item x="270"/>
        <item x="216"/>
        <item x="168"/>
        <item x="61"/>
        <item x="253"/>
        <item x="55"/>
        <item x="240"/>
        <item x="76"/>
        <item x="1"/>
        <item x="300"/>
        <item x="261"/>
        <item x="36"/>
        <item x="297"/>
        <item x="233"/>
        <item x="44"/>
        <item x="139"/>
        <item x="97"/>
        <item x="46"/>
        <item x="244"/>
        <item x="130"/>
        <item x="143"/>
        <item x="0"/>
        <item x="204"/>
        <item x="313"/>
        <item x="15"/>
        <item x="249"/>
        <item x="256"/>
        <item x="191"/>
        <item x="33"/>
        <item x="324"/>
        <item x="163"/>
        <item x="127"/>
        <item x="122"/>
        <item x="134"/>
        <item x="326"/>
        <item x="178"/>
        <item x="35"/>
        <item x="262"/>
        <item x="59"/>
        <item x="190"/>
        <item x="236"/>
        <item x="173"/>
        <item x="250"/>
        <item x="177"/>
        <item x="223"/>
        <item x="93"/>
        <item x="113"/>
        <item x="108"/>
        <item x="104"/>
        <item x="349"/>
        <item x="56"/>
        <item x="296"/>
        <item x="42"/>
        <item x="264"/>
        <item x="338"/>
        <item x="332"/>
        <item x="141"/>
        <item x="271"/>
        <item x="307"/>
        <item x="188"/>
        <item x="291"/>
        <item x="351"/>
        <item x="157"/>
        <item x="292"/>
        <item x="251"/>
        <item x="288"/>
        <item x="257"/>
        <item x="317"/>
        <item x="248"/>
        <item x="131"/>
        <item x="213"/>
        <item x="238"/>
        <item x="339"/>
        <item x="112"/>
        <item x="118"/>
        <item x="336"/>
        <item x="158"/>
        <item x="57"/>
        <item x="222"/>
        <item x="347"/>
        <item x="72"/>
        <item x="159"/>
        <item x="21"/>
        <item x="167"/>
        <item x="260"/>
        <item x="268"/>
        <item x="218"/>
        <item x="184"/>
        <item x="295"/>
        <item x="348"/>
        <item x="337"/>
        <item x="156"/>
        <item x="83"/>
        <item x="212"/>
        <item x="71"/>
        <item x="282"/>
        <item x="221"/>
        <item x="279"/>
        <item x="209"/>
        <item x="161"/>
        <item x="22"/>
        <item x="88"/>
        <item x="311"/>
        <item x="350"/>
        <item x="202"/>
        <item x="7"/>
        <item x="92"/>
        <item x="116"/>
        <item x="24"/>
        <item x="106"/>
        <item x="90"/>
        <item x="19"/>
        <item x="128"/>
        <item x="185"/>
        <item x="274"/>
        <item x="210"/>
        <item x="27"/>
        <item x="278"/>
        <item x="329"/>
        <item x="82"/>
        <item x="312"/>
        <item x="165"/>
        <item x="137"/>
        <item x="150"/>
        <item x="121"/>
        <item x="304"/>
        <item x="49"/>
        <item x="41"/>
        <item x="12"/>
        <item x="5"/>
        <item x="293"/>
        <item x="199"/>
        <item x="3"/>
        <item x="78"/>
        <item x="239"/>
        <item x="39"/>
        <item x="335"/>
        <item x="86"/>
        <item x="30"/>
        <item x="162"/>
        <item x="114"/>
        <item x="254"/>
        <item x="176"/>
        <item x="103"/>
        <item x="111"/>
        <item x="80"/>
        <item x="52"/>
        <item x="315"/>
        <item x="198"/>
        <item x="302"/>
        <item x="38"/>
        <item x="298"/>
        <item x="53"/>
        <item x="205"/>
        <item x="182"/>
        <item x="322"/>
        <item x="47"/>
        <item x="305"/>
        <item x="193"/>
        <item x="148"/>
        <item x="263"/>
        <item x="50"/>
        <item x="10"/>
        <item x="186"/>
        <item x="54"/>
        <item x="18"/>
        <item x="246"/>
        <item x="145"/>
        <item x="129"/>
        <item x="107"/>
        <item x="166"/>
        <item x="192"/>
        <item x="237"/>
        <item x="4"/>
        <item x="183"/>
        <item x="153"/>
        <item x="136"/>
        <item x="318"/>
        <item x="309"/>
        <item x="229"/>
        <item x="164"/>
        <item x="197"/>
        <item x="8"/>
        <item x="333"/>
        <item x="219"/>
        <item x="316"/>
        <item x="84"/>
        <item x="6"/>
        <item x="126"/>
        <item x="255"/>
        <item x="140"/>
        <item x="37"/>
        <item x="125"/>
        <item x="272"/>
        <item x="206"/>
        <item x="241"/>
        <item x="231"/>
        <item x="301"/>
        <item x="217"/>
        <item x="68"/>
        <item x="234"/>
        <item x="328"/>
        <item x="265"/>
        <item x="319"/>
        <item x="154"/>
        <item x="330"/>
        <item x="247"/>
        <item x="63"/>
        <item x="64"/>
        <item x="287"/>
        <item x="266"/>
        <item x="189"/>
        <item x="286"/>
        <item x="230"/>
        <item x="109"/>
        <item x="29"/>
        <item x="267"/>
        <item x="334"/>
        <item x="340"/>
        <item x="227"/>
        <item x="79"/>
        <item x="102"/>
        <item x="26"/>
        <item x="258"/>
        <item x="327"/>
        <item x="62"/>
        <item x="120"/>
        <item x="214"/>
        <item x="211"/>
        <item x="208"/>
        <item x="115"/>
        <item x="58"/>
        <item x="245"/>
        <item x="345"/>
        <item x="308"/>
        <item x="135"/>
        <item x="138"/>
        <item x="51"/>
        <item x="147"/>
        <item x="171"/>
        <item x="60"/>
        <item x="142"/>
        <item x="331"/>
        <item x="169"/>
        <item x="175"/>
        <item x="320"/>
        <item x="132"/>
        <item x="151"/>
        <item x="243"/>
        <item x="16"/>
        <item x="323"/>
        <item x="242"/>
        <item x="306"/>
        <item x="146"/>
        <item x="9"/>
        <item x="123"/>
        <item x="273"/>
        <item x="187"/>
        <item x="94"/>
        <item x="220"/>
        <item x="91"/>
        <item x="201"/>
        <item x="25"/>
        <item x="20"/>
        <item x="152"/>
        <item x="87"/>
        <item x="290"/>
        <item x="194"/>
        <item x="314"/>
        <item x="105"/>
        <item x="101"/>
        <item x="344"/>
        <item x="346"/>
        <item x="259"/>
        <item x="74"/>
        <item x="124"/>
        <item x="13"/>
        <item x="77"/>
        <item x="203"/>
        <item x="269"/>
        <item x="100"/>
        <item x="11"/>
        <item x="196"/>
        <item x="226"/>
        <item x="2"/>
        <item x="299"/>
        <item x="17"/>
        <item x="32"/>
        <item x="149"/>
        <item x="160"/>
        <item x="99"/>
        <item x="179"/>
        <item x="180"/>
        <item x="181"/>
        <item x="133"/>
        <item x="75"/>
        <item x="34"/>
        <item x="155"/>
        <item x="215"/>
        <item x="81"/>
        <item x="73"/>
        <item t="default"/>
      </items>
    </pivotField>
    <pivotField showAll="0"/>
    <pivotField showAll="0"/>
    <pivotField numFmtId="4" showAll="0"/>
    <pivotField numFmtId="9" showAll="0"/>
    <pivotField dataField="1" numFmtId="4" showAll="0"/>
    <pivotField numFmtId="4" showAll="0"/>
    <pivotField numFmtId="4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3"/>
    <field x="12"/>
  </rowFields>
  <rowItems count="21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Total_Sales Revenue" fld="6" baseField="13" baseItem="1" numFmtId="44"/>
  </dataFields>
  <formats count="25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3" type="button" dataOnly="0" labelOnly="1" outline="0" axis="axisRow" fieldPosition="0"/>
    </format>
    <format dxfId="71">
      <pivotArea dataOnly="0" labelOnly="1" fieldPosition="0">
        <references count="1">
          <reference field="13" count="2">
            <x v="1"/>
            <x v="2"/>
          </reference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2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3" count="1" selected="0">
            <x v="1"/>
          </reference>
        </references>
      </pivotArea>
    </format>
    <format dxfId="68">
      <pivotArea dataOnly="0" labelOnly="1" fieldPosition="0">
        <references count="2">
          <reference field="12" count="6">
            <x v="1"/>
            <x v="2"/>
            <x v="3"/>
            <x v="4"/>
            <x v="5"/>
            <x v="6"/>
          </reference>
          <reference field="13" count="1" selected="0">
            <x v="2"/>
          </reference>
        </references>
      </pivotArea>
    </format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13" type="button" dataOnly="0" labelOnly="1" outline="0" axis="axisRow" fieldPosition="0"/>
    </format>
    <format dxfId="63">
      <pivotArea dataOnly="0" labelOnly="1" fieldPosition="0">
        <references count="1">
          <reference field="13" count="2">
            <x v="1"/>
            <x v="2"/>
          </reference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2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3" count="1" selected="0">
            <x v="1"/>
          </reference>
        </references>
      </pivotArea>
    </format>
    <format dxfId="60">
      <pivotArea dataOnly="0" labelOnly="1" fieldPosition="0">
        <references count="2">
          <reference field="12" count="6">
            <x v="1"/>
            <x v="2"/>
            <x v="3"/>
            <x v="4"/>
            <x v="5"/>
            <x v="6"/>
          </reference>
          <reference field="13" count="1" selected="0">
            <x v="2"/>
          </reference>
        </references>
      </pivotArea>
    </format>
    <format dxfId="59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3" type="button" dataOnly="0" labelOnly="1" outline="0" axis="axisRow" fieldPosition="0"/>
    </format>
    <format dxfId="55">
      <pivotArea dataOnly="0" labelOnly="1" fieldPosition="0">
        <references count="1">
          <reference field="13" count="2">
            <x v="1"/>
            <x v="2"/>
          </reference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2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3" count="1" selected="0">
            <x v="1"/>
          </reference>
        </references>
      </pivotArea>
    </format>
    <format dxfId="52">
      <pivotArea dataOnly="0" labelOnly="1" fieldPosition="0">
        <references count="2">
          <reference field="12" count="6">
            <x v="1"/>
            <x v="2"/>
            <x v="3"/>
            <x v="4"/>
            <x v="5"/>
            <x v="6"/>
          </reference>
          <reference field="13" count="1" selected="0">
            <x v="2"/>
          </reference>
        </references>
      </pivotArea>
    </format>
    <format dxfId="51">
      <pivotArea dataOnly="0" labelOnly="1" outline="0" axis="axisValues" fieldPosition="0"/>
    </format>
    <format dxfId="5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1"/>
  <sheetViews>
    <sheetView workbookViewId="0">
      <pane ySplit="1" topLeftCell="A142" activePane="bottomLeft" state="frozen"/>
      <selection pane="bottomLeft" activeCell="B27" sqref="B27"/>
    </sheetView>
  </sheetViews>
  <sheetFormatPr defaultRowHeight="14.4" x14ac:dyDescent="0.3"/>
  <cols>
    <col min="1" max="1" width="14" customWidth="1"/>
    <col min="2" max="2" width="15" customWidth="1"/>
    <col min="3" max="3" width="19" customWidth="1"/>
    <col min="4" max="4" width="15" customWidth="1"/>
    <col min="5" max="5" width="14" customWidth="1"/>
    <col min="6" max="6" width="12" customWidth="1"/>
    <col min="7" max="7" width="16" customWidth="1"/>
    <col min="8" max="9" width="14" customWidth="1"/>
    <col min="10" max="10" width="12" customWidth="1"/>
    <col min="11" max="11" width="17" customWidth="1"/>
    <col min="12" max="12" width="16" customWidth="1"/>
  </cols>
  <sheetData>
    <row r="1" spans="1:12" s="35" customFormat="1" x14ac:dyDescent="0.3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3">
      <c r="A2" t="s">
        <v>12</v>
      </c>
      <c r="B2">
        <v>45772</v>
      </c>
      <c r="C2" t="s">
        <v>13</v>
      </c>
      <c r="D2">
        <v>4</v>
      </c>
      <c r="E2" s="1">
        <v>52000</v>
      </c>
      <c r="F2" s="2">
        <v>0.05</v>
      </c>
      <c r="G2" s="1">
        <v>197600</v>
      </c>
      <c r="H2" s="1">
        <v>135200</v>
      </c>
      <c r="I2" s="1">
        <v>62400</v>
      </c>
      <c r="J2" t="s">
        <v>14</v>
      </c>
      <c r="K2" t="s">
        <v>15</v>
      </c>
      <c r="L2" t="s">
        <v>16</v>
      </c>
    </row>
    <row r="3" spans="1:12" x14ac:dyDescent="0.3">
      <c r="A3" t="s">
        <v>17</v>
      </c>
      <c r="B3">
        <v>45747</v>
      </c>
      <c r="C3" t="s">
        <v>18</v>
      </c>
      <c r="D3">
        <v>1</v>
      </c>
      <c r="E3" s="1">
        <v>1890</v>
      </c>
      <c r="F3" s="2">
        <v>0</v>
      </c>
      <c r="G3" s="1">
        <v>1890</v>
      </c>
      <c r="H3" s="1">
        <v>1228.5</v>
      </c>
      <c r="I3" s="1">
        <v>661.5</v>
      </c>
      <c r="J3" t="s">
        <v>19</v>
      </c>
      <c r="K3" t="s">
        <v>20</v>
      </c>
      <c r="L3" t="s">
        <v>21</v>
      </c>
    </row>
    <row r="4" spans="1:12" x14ac:dyDescent="0.3">
      <c r="A4" t="s">
        <v>22</v>
      </c>
      <c r="B4">
        <v>46175</v>
      </c>
      <c r="C4" t="s">
        <v>18</v>
      </c>
      <c r="D4">
        <v>4</v>
      </c>
      <c r="E4" s="1">
        <v>1710</v>
      </c>
      <c r="F4" s="2">
        <v>0.2</v>
      </c>
      <c r="G4" s="1">
        <v>5472</v>
      </c>
      <c r="H4" s="1">
        <v>4446</v>
      </c>
      <c r="I4" s="1">
        <v>1026</v>
      </c>
      <c r="J4" t="s">
        <v>23</v>
      </c>
      <c r="K4" t="s">
        <v>24</v>
      </c>
      <c r="L4" t="s">
        <v>25</v>
      </c>
    </row>
    <row r="5" spans="1:12" x14ac:dyDescent="0.3">
      <c r="A5" t="s">
        <v>26</v>
      </c>
      <c r="B5">
        <v>45942</v>
      </c>
      <c r="C5" t="s">
        <v>13</v>
      </c>
      <c r="D5">
        <v>7</v>
      </c>
      <c r="E5" s="1">
        <v>52000</v>
      </c>
      <c r="F5" s="2">
        <v>0.1</v>
      </c>
      <c r="G5" s="1">
        <v>327600</v>
      </c>
      <c r="H5" s="1">
        <v>236600</v>
      </c>
      <c r="I5" s="1">
        <v>91000</v>
      </c>
      <c r="J5" t="s">
        <v>27</v>
      </c>
      <c r="K5" t="s">
        <v>28</v>
      </c>
      <c r="L5" t="s">
        <v>21</v>
      </c>
    </row>
    <row r="6" spans="1:12" x14ac:dyDescent="0.3">
      <c r="A6" t="s">
        <v>29</v>
      </c>
      <c r="B6">
        <v>46002</v>
      </c>
      <c r="C6" t="s">
        <v>30</v>
      </c>
      <c r="D6">
        <v>7</v>
      </c>
      <c r="E6" s="1">
        <v>617.5</v>
      </c>
      <c r="F6" s="2">
        <v>0</v>
      </c>
      <c r="G6" s="1">
        <v>4322.5</v>
      </c>
      <c r="H6" s="1">
        <v>2809.62</v>
      </c>
      <c r="I6" s="1">
        <v>1512.88</v>
      </c>
      <c r="J6" t="s">
        <v>27</v>
      </c>
      <c r="K6" t="s">
        <v>31</v>
      </c>
      <c r="L6" t="s">
        <v>16</v>
      </c>
    </row>
    <row r="7" spans="1:12" x14ac:dyDescent="0.3">
      <c r="A7" t="s">
        <v>32</v>
      </c>
      <c r="B7">
        <v>45928</v>
      </c>
      <c r="C7" t="s">
        <v>13</v>
      </c>
      <c r="D7">
        <v>2</v>
      </c>
      <c r="E7" s="1">
        <v>54600</v>
      </c>
      <c r="F7" s="2">
        <v>0.15</v>
      </c>
      <c r="G7" s="1">
        <v>92820</v>
      </c>
      <c r="H7" s="1">
        <v>70980</v>
      </c>
      <c r="I7" s="1">
        <v>21840</v>
      </c>
      <c r="J7" t="s">
        <v>33</v>
      </c>
      <c r="K7" t="s">
        <v>34</v>
      </c>
      <c r="L7" t="s">
        <v>16</v>
      </c>
    </row>
    <row r="8" spans="1:12" x14ac:dyDescent="0.3">
      <c r="A8" t="s">
        <v>35</v>
      </c>
      <c r="B8">
        <v>46028</v>
      </c>
      <c r="C8" t="s">
        <v>18</v>
      </c>
      <c r="D8">
        <v>2</v>
      </c>
      <c r="E8" s="1">
        <v>1800</v>
      </c>
      <c r="F8" s="2">
        <v>0</v>
      </c>
      <c r="G8" s="1">
        <v>3600</v>
      </c>
      <c r="H8" s="1">
        <v>2340</v>
      </c>
      <c r="I8" s="1">
        <v>1260</v>
      </c>
      <c r="J8" t="s">
        <v>14</v>
      </c>
      <c r="K8" t="s">
        <v>36</v>
      </c>
      <c r="L8" t="s">
        <v>21</v>
      </c>
    </row>
    <row r="9" spans="1:12" x14ac:dyDescent="0.3">
      <c r="A9" t="s">
        <v>37</v>
      </c>
      <c r="B9">
        <v>45896</v>
      </c>
      <c r="C9" t="s">
        <v>30</v>
      </c>
      <c r="D9">
        <v>5</v>
      </c>
      <c r="E9" s="1">
        <v>682.5</v>
      </c>
      <c r="F9" s="2">
        <v>0.15</v>
      </c>
      <c r="G9" s="1">
        <v>2900.62</v>
      </c>
      <c r="H9" s="1">
        <v>2218.12</v>
      </c>
      <c r="I9" s="1">
        <v>682.5</v>
      </c>
      <c r="J9" t="s">
        <v>27</v>
      </c>
      <c r="K9" t="s">
        <v>28</v>
      </c>
      <c r="L9" t="s">
        <v>25</v>
      </c>
    </row>
    <row r="10" spans="1:12" x14ac:dyDescent="0.3">
      <c r="A10" t="s">
        <v>38</v>
      </c>
      <c r="B10">
        <v>46021</v>
      </c>
      <c r="C10" t="s">
        <v>39</v>
      </c>
      <c r="D10">
        <v>2</v>
      </c>
      <c r="E10" s="1">
        <v>12500</v>
      </c>
      <c r="F10" s="2">
        <v>0.2</v>
      </c>
      <c r="G10" s="1">
        <v>20000</v>
      </c>
      <c r="H10" s="1">
        <v>16250</v>
      </c>
      <c r="I10" s="1">
        <v>3750</v>
      </c>
      <c r="J10" t="s">
        <v>14</v>
      </c>
      <c r="K10" t="s">
        <v>40</v>
      </c>
      <c r="L10" t="s">
        <v>21</v>
      </c>
    </row>
    <row r="11" spans="1:12" x14ac:dyDescent="0.3">
      <c r="A11" t="s">
        <v>41</v>
      </c>
      <c r="B11">
        <v>46131</v>
      </c>
      <c r="C11" t="s">
        <v>682</v>
      </c>
      <c r="D11">
        <v>4</v>
      </c>
      <c r="E11" s="1">
        <v>3200</v>
      </c>
      <c r="F11" s="2">
        <v>0.1</v>
      </c>
      <c r="G11" s="1">
        <v>11520</v>
      </c>
      <c r="H11" s="1">
        <v>8320</v>
      </c>
      <c r="I11" s="1">
        <v>3200</v>
      </c>
      <c r="J11" t="s">
        <v>19</v>
      </c>
      <c r="K11" t="s">
        <v>20</v>
      </c>
      <c r="L11" t="s">
        <v>21</v>
      </c>
    </row>
    <row r="12" spans="1:12" x14ac:dyDescent="0.3">
      <c r="A12" t="s">
        <v>42</v>
      </c>
      <c r="B12">
        <v>45981</v>
      </c>
      <c r="C12" t="s">
        <v>43</v>
      </c>
      <c r="D12">
        <v>2</v>
      </c>
      <c r="E12" s="1">
        <v>3200</v>
      </c>
      <c r="F12" s="2">
        <v>0.05</v>
      </c>
      <c r="G12" s="1">
        <v>6080</v>
      </c>
      <c r="H12" s="1">
        <v>4160</v>
      </c>
      <c r="I12" s="1">
        <v>1920</v>
      </c>
      <c r="J12" t="s">
        <v>27</v>
      </c>
      <c r="K12" t="s">
        <v>28</v>
      </c>
      <c r="L12" t="s">
        <v>16</v>
      </c>
    </row>
    <row r="13" spans="1:12" x14ac:dyDescent="0.3">
      <c r="A13" t="s">
        <v>44</v>
      </c>
      <c r="B13">
        <v>46169</v>
      </c>
      <c r="C13" t="s">
        <v>43</v>
      </c>
      <c r="D13">
        <v>3</v>
      </c>
      <c r="E13" s="1">
        <v>3360</v>
      </c>
      <c r="F13" s="2">
        <v>0.1</v>
      </c>
      <c r="G13" s="1">
        <v>9072</v>
      </c>
      <c r="H13" s="1">
        <v>6552</v>
      </c>
      <c r="I13" s="1">
        <v>2520</v>
      </c>
      <c r="J13" t="s">
        <v>14</v>
      </c>
      <c r="K13" t="s">
        <v>40</v>
      </c>
      <c r="L13" t="s">
        <v>16</v>
      </c>
    </row>
    <row r="14" spans="1:12" x14ac:dyDescent="0.3">
      <c r="A14" t="s">
        <v>45</v>
      </c>
      <c r="B14">
        <v>45927</v>
      </c>
      <c r="C14" t="s">
        <v>18</v>
      </c>
      <c r="D14">
        <v>7</v>
      </c>
      <c r="E14" s="1">
        <v>1890</v>
      </c>
      <c r="F14" s="2">
        <v>0.1</v>
      </c>
      <c r="G14" s="1">
        <v>11907</v>
      </c>
      <c r="H14" s="1">
        <v>8599.5</v>
      </c>
      <c r="I14" s="1">
        <v>3307.5</v>
      </c>
      <c r="J14" t="s">
        <v>14</v>
      </c>
      <c r="K14" t="s">
        <v>40</v>
      </c>
      <c r="L14" t="s">
        <v>16</v>
      </c>
    </row>
    <row r="15" spans="1:12" x14ac:dyDescent="0.3">
      <c r="A15" t="s">
        <v>46</v>
      </c>
      <c r="B15">
        <v>46163</v>
      </c>
      <c r="C15" t="s">
        <v>30</v>
      </c>
      <c r="D15">
        <v>2</v>
      </c>
      <c r="E15" s="1">
        <v>617.5</v>
      </c>
      <c r="F15" s="2">
        <v>0.05</v>
      </c>
      <c r="G15" s="1">
        <v>1173.25</v>
      </c>
      <c r="H15" s="1">
        <v>802.75</v>
      </c>
      <c r="I15" s="1">
        <v>370.5</v>
      </c>
      <c r="J15" t="s">
        <v>14</v>
      </c>
      <c r="K15" t="s">
        <v>47</v>
      </c>
      <c r="L15" t="s">
        <v>16</v>
      </c>
    </row>
    <row r="16" spans="1:12" x14ac:dyDescent="0.3">
      <c r="A16" t="s">
        <v>48</v>
      </c>
      <c r="B16">
        <v>45723</v>
      </c>
      <c r="C16" t="s">
        <v>43</v>
      </c>
      <c r="D16">
        <v>8</v>
      </c>
      <c r="E16" s="1">
        <v>3360</v>
      </c>
      <c r="F16" s="2">
        <v>0.2</v>
      </c>
      <c r="G16" s="1">
        <v>21504</v>
      </c>
      <c r="H16" s="1">
        <v>17472</v>
      </c>
      <c r="I16" s="1">
        <v>4032</v>
      </c>
      <c r="J16" t="s">
        <v>27</v>
      </c>
      <c r="K16" t="s">
        <v>49</v>
      </c>
      <c r="L16" t="s">
        <v>16</v>
      </c>
    </row>
    <row r="17" spans="1:12" x14ac:dyDescent="0.3">
      <c r="A17" t="s">
        <v>50</v>
      </c>
      <c r="B17">
        <v>45775</v>
      </c>
      <c r="C17" t="s">
        <v>51</v>
      </c>
      <c r="D17">
        <v>6</v>
      </c>
      <c r="E17" s="1">
        <v>2600</v>
      </c>
      <c r="F17" s="2">
        <v>0</v>
      </c>
      <c r="G17" s="1"/>
      <c r="H17" s="1">
        <v>10140</v>
      </c>
      <c r="I17" s="1">
        <v>5460</v>
      </c>
      <c r="J17" t="s">
        <v>27</v>
      </c>
      <c r="K17" t="s">
        <v>52</v>
      </c>
      <c r="L17" t="s">
        <v>21</v>
      </c>
    </row>
    <row r="18" spans="1:12" x14ac:dyDescent="0.3">
      <c r="A18" t="s">
        <v>53</v>
      </c>
      <c r="B18">
        <v>46122</v>
      </c>
      <c r="C18" t="s">
        <v>13</v>
      </c>
      <c r="D18">
        <v>3</v>
      </c>
      <c r="E18" s="1">
        <v>52000</v>
      </c>
      <c r="F18" s="2">
        <v>0.2</v>
      </c>
      <c r="G18" s="1">
        <v>124800</v>
      </c>
      <c r="H18" s="1">
        <v>101400</v>
      </c>
      <c r="I18" s="1">
        <v>23400</v>
      </c>
      <c r="J18" t="s">
        <v>19</v>
      </c>
      <c r="K18" t="s">
        <v>34</v>
      </c>
      <c r="L18" t="s">
        <v>16</v>
      </c>
    </row>
    <row r="19" spans="1:12" x14ac:dyDescent="0.3">
      <c r="A19" t="s">
        <v>54</v>
      </c>
      <c r="B19">
        <v>46177</v>
      </c>
      <c r="C19" t="s">
        <v>18</v>
      </c>
      <c r="D19">
        <v>3</v>
      </c>
      <c r="E19" s="1">
        <v>1800</v>
      </c>
      <c r="F19" s="2">
        <v>0.1</v>
      </c>
      <c r="G19" s="1">
        <v>4860</v>
      </c>
      <c r="H19" s="1">
        <v>3510</v>
      </c>
      <c r="I19" s="1">
        <v>1350</v>
      </c>
      <c r="J19" t="s">
        <v>14</v>
      </c>
      <c r="K19" t="s">
        <v>15</v>
      </c>
      <c r="L19" t="s">
        <v>16</v>
      </c>
    </row>
    <row r="20" spans="1:12" x14ac:dyDescent="0.3">
      <c r="A20" t="s">
        <v>55</v>
      </c>
      <c r="B20">
        <v>45989</v>
      </c>
      <c r="C20" t="s">
        <v>56</v>
      </c>
      <c r="D20">
        <v>2</v>
      </c>
      <c r="E20" s="1">
        <v>9310</v>
      </c>
      <c r="F20" s="2">
        <v>0.1</v>
      </c>
      <c r="G20" s="1">
        <v>16758</v>
      </c>
      <c r="H20" s="1">
        <v>12103</v>
      </c>
      <c r="I20" s="1">
        <v>4655</v>
      </c>
      <c r="J20" t="s">
        <v>27</v>
      </c>
      <c r="K20" t="s">
        <v>28</v>
      </c>
      <c r="L20" t="s">
        <v>21</v>
      </c>
    </row>
    <row r="21" spans="1:12" x14ac:dyDescent="0.3">
      <c r="A21" t="s">
        <v>57</v>
      </c>
      <c r="B21">
        <v>45904</v>
      </c>
      <c r="C21" t="s">
        <v>18</v>
      </c>
      <c r="D21">
        <v>2</v>
      </c>
      <c r="E21" s="1">
        <v>1710</v>
      </c>
      <c r="F21" s="2">
        <v>0.15</v>
      </c>
      <c r="G21" s="1">
        <v>2907</v>
      </c>
      <c r="H21" s="1">
        <v>2223</v>
      </c>
      <c r="I21" s="1">
        <v>684</v>
      </c>
      <c r="J21" t="s">
        <v>19</v>
      </c>
      <c r="K21" t="s">
        <v>20</v>
      </c>
      <c r="L21" t="s">
        <v>21</v>
      </c>
    </row>
    <row r="22" spans="1:12" x14ac:dyDescent="0.3">
      <c r="A22" t="s">
        <v>58</v>
      </c>
      <c r="B22">
        <v>46144</v>
      </c>
      <c r="C22" t="s">
        <v>51</v>
      </c>
      <c r="D22">
        <v>5</v>
      </c>
      <c r="E22" s="1">
        <v>2600</v>
      </c>
      <c r="F22" s="2">
        <v>0.2</v>
      </c>
      <c r="G22" s="1">
        <v>10400</v>
      </c>
      <c r="H22" s="1">
        <v>8450</v>
      </c>
      <c r="I22" s="1">
        <v>1950</v>
      </c>
      <c r="J22" t="s">
        <v>23</v>
      </c>
      <c r="K22" t="s">
        <v>24</v>
      </c>
      <c r="L22" t="s">
        <v>16</v>
      </c>
    </row>
    <row r="23" spans="1:12" x14ac:dyDescent="0.3">
      <c r="A23" t="s">
        <v>59</v>
      </c>
      <c r="B23">
        <v>45863</v>
      </c>
      <c r="C23" t="s">
        <v>60</v>
      </c>
      <c r="D23">
        <v>6</v>
      </c>
      <c r="E23" s="1">
        <v>2310</v>
      </c>
      <c r="F23" s="2">
        <v>0.15</v>
      </c>
      <c r="G23" s="1">
        <v>11781</v>
      </c>
      <c r="H23" s="1">
        <v>9009</v>
      </c>
      <c r="I23" s="1">
        <v>2772</v>
      </c>
      <c r="J23" t="s">
        <v>23</v>
      </c>
      <c r="K23" t="s">
        <v>61</v>
      </c>
      <c r="L23" t="s">
        <v>21</v>
      </c>
    </row>
    <row r="24" spans="1:12" x14ac:dyDescent="0.3">
      <c r="A24" t="s">
        <v>62</v>
      </c>
      <c r="B24">
        <v>45888</v>
      </c>
      <c r="C24" t="s">
        <v>30</v>
      </c>
      <c r="D24">
        <v>1</v>
      </c>
      <c r="E24" s="1">
        <v>650</v>
      </c>
      <c r="F24" s="2">
        <v>0.2</v>
      </c>
      <c r="G24" s="1">
        <v>520</v>
      </c>
      <c r="H24" s="1">
        <v>422.5</v>
      </c>
      <c r="I24" s="1">
        <v>97.5</v>
      </c>
      <c r="J24" t="s">
        <v>14</v>
      </c>
      <c r="K24" t="s">
        <v>40</v>
      </c>
      <c r="L24" t="s">
        <v>21</v>
      </c>
    </row>
    <row r="25" spans="1:12" x14ac:dyDescent="0.3">
      <c r="A25" t="s">
        <v>63</v>
      </c>
      <c r="B25">
        <v>45730</v>
      </c>
      <c r="C25" t="s">
        <v>13</v>
      </c>
      <c r="D25">
        <v>2</v>
      </c>
      <c r="E25" s="1">
        <v>52000</v>
      </c>
      <c r="F25" s="2">
        <v>0</v>
      </c>
      <c r="G25" s="1">
        <v>104000</v>
      </c>
      <c r="H25" s="1">
        <v>67600</v>
      </c>
      <c r="I25" s="1">
        <v>36400</v>
      </c>
      <c r="J25" t="s">
        <v>27</v>
      </c>
      <c r="K25" t="s">
        <v>49</v>
      </c>
      <c r="L25" t="s">
        <v>16</v>
      </c>
    </row>
    <row r="26" spans="1:12" x14ac:dyDescent="0.3">
      <c r="A26" t="s">
        <v>64</v>
      </c>
      <c r="B26">
        <v>45901</v>
      </c>
      <c r="C26" t="s">
        <v>60</v>
      </c>
      <c r="D26">
        <v>4</v>
      </c>
      <c r="E26" s="1">
        <v>2310</v>
      </c>
      <c r="F26" s="2">
        <v>0.2</v>
      </c>
      <c r="G26" s="1">
        <v>7392</v>
      </c>
      <c r="H26" s="1">
        <v>6006</v>
      </c>
      <c r="I26" s="1">
        <v>1386</v>
      </c>
      <c r="J26" t="s">
        <v>14</v>
      </c>
      <c r="K26" t="s">
        <v>47</v>
      </c>
      <c r="L26" t="s">
        <v>21</v>
      </c>
    </row>
    <row r="27" spans="1:12" x14ac:dyDescent="0.3">
      <c r="A27" t="s">
        <v>65</v>
      </c>
      <c r="B27">
        <v>46142</v>
      </c>
      <c r="C27" t="s">
        <v>43</v>
      </c>
      <c r="D27">
        <v>2</v>
      </c>
      <c r="E27" s="1">
        <v>3200</v>
      </c>
      <c r="F27" s="2">
        <v>0</v>
      </c>
      <c r="G27" s="1">
        <v>6400</v>
      </c>
      <c r="H27" s="1">
        <v>4160</v>
      </c>
      <c r="I27" s="1">
        <v>2240</v>
      </c>
      <c r="J27" t="s">
        <v>23</v>
      </c>
      <c r="K27" t="s">
        <v>66</v>
      </c>
      <c r="L27" t="s">
        <v>25</v>
      </c>
    </row>
    <row r="28" spans="1:12" x14ac:dyDescent="0.3">
      <c r="A28" t="s">
        <v>67</v>
      </c>
      <c r="B28">
        <v>46078</v>
      </c>
      <c r="C28" t="s">
        <v>56</v>
      </c>
      <c r="D28">
        <v>2</v>
      </c>
      <c r="E28" s="1">
        <v>9310</v>
      </c>
      <c r="F28" s="2">
        <v>0</v>
      </c>
      <c r="G28" s="1">
        <v>18620</v>
      </c>
      <c r="H28" s="1">
        <v>12103</v>
      </c>
      <c r="I28" s="1">
        <v>6517</v>
      </c>
      <c r="J28" t="s">
        <v>23</v>
      </c>
      <c r="K28" t="s">
        <v>66</v>
      </c>
      <c r="L28" t="s">
        <v>21</v>
      </c>
    </row>
    <row r="29" spans="1:12" x14ac:dyDescent="0.3">
      <c r="A29" t="s">
        <v>68</v>
      </c>
      <c r="B29">
        <v>45912</v>
      </c>
      <c r="C29" t="s">
        <v>39</v>
      </c>
      <c r="D29">
        <v>8</v>
      </c>
      <c r="E29" s="1">
        <v>12500</v>
      </c>
      <c r="F29" s="2">
        <v>0.05</v>
      </c>
      <c r="G29" s="1">
        <v>95000</v>
      </c>
      <c r="H29" s="1">
        <v>65000</v>
      </c>
      <c r="I29" s="1">
        <v>30000</v>
      </c>
      <c r="J29" t="s">
        <v>23</v>
      </c>
      <c r="K29" t="s">
        <v>24</v>
      </c>
      <c r="L29" t="s">
        <v>25</v>
      </c>
    </row>
    <row r="30" spans="1:12" x14ac:dyDescent="0.3">
      <c r="A30" t="s">
        <v>69</v>
      </c>
      <c r="B30">
        <v>46131</v>
      </c>
      <c r="C30" t="s">
        <v>39</v>
      </c>
      <c r="D30">
        <v>8</v>
      </c>
      <c r="E30" s="1">
        <v>11875</v>
      </c>
      <c r="F30" s="2">
        <v>0.2</v>
      </c>
      <c r="G30" s="1">
        <v>76000</v>
      </c>
      <c r="H30" s="1">
        <v>61750</v>
      </c>
      <c r="I30" s="1">
        <v>14250</v>
      </c>
      <c r="J30" t="s">
        <v>19</v>
      </c>
      <c r="K30" t="s">
        <v>70</v>
      </c>
      <c r="L30" t="s">
        <v>16</v>
      </c>
    </row>
    <row r="31" spans="1:12" x14ac:dyDescent="0.3">
      <c r="A31" t="s">
        <v>71</v>
      </c>
      <c r="B31">
        <v>45673</v>
      </c>
      <c r="C31" t="s">
        <v>30</v>
      </c>
      <c r="D31">
        <v>3</v>
      </c>
      <c r="E31" s="1">
        <v>650</v>
      </c>
      <c r="F31" s="2">
        <v>0.15</v>
      </c>
      <c r="G31" s="1">
        <v>1657.5</v>
      </c>
      <c r="H31" s="1">
        <v>1267.5</v>
      </c>
      <c r="I31" s="1">
        <v>390</v>
      </c>
      <c r="J31" t="s">
        <v>23</v>
      </c>
      <c r="K31" t="s">
        <v>72</v>
      </c>
      <c r="L31" t="s">
        <v>21</v>
      </c>
    </row>
    <row r="32" spans="1:12" x14ac:dyDescent="0.3">
      <c r="A32" t="s">
        <v>73</v>
      </c>
      <c r="B32">
        <v>46068</v>
      </c>
      <c r="C32" t="s">
        <v>13</v>
      </c>
      <c r="D32">
        <v>7</v>
      </c>
      <c r="E32" s="1">
        <v>52000</v>
      </c>
      <c r="F32" s="2">
        <v>0</v>
      </c>
      <c r="G32" s="1">
        <v>364000</v>
      </c>
      <c r="H32" s="1">
        <v>236600</v>
      </c>
      <c r="I32" s="1">
        <v>127400</v>
      </c>
      <c r="J32" t="s">
        <v>23</v>
      </c>
      <c r="K32" t="s">
        <v>66</v>
      </c>
      <c r="L32" t="s">
        <v>25</v>
      </c>
    </row>
    <row r="33" spans="1:12" x14ac:dyDescent="0.3">
      <c r="A33" t="s">
        <v>74</v>
      </c>
      <c r="B33">
        <v>45950</v>
      </c>
      <c r="C33" t="s">
        <v>43</v>
      </c>
      <c r="D33">
        <v>3</v>
      </c>
      <c r="E33" s="1">
        <v>3360</v>
      </c>
      <c r="F33" s="2">
        <v>0.05</v>
      </c>
      <c r="G33" s="1">
        <v>9576</v>
      </c>
      <c r="H33" s="1">
        <v>6552</v>
      </c>
      <c r="I33" s="1">
        <v>3024</v>
      </c>
      <c r="J33" t="s">
        <v>27</v>
      </c>
      <c r="K33" t="s">
        <v>28</v>
      </c>
      <c r="L33" t="s">
        <v>21</v>
      </c>
    </row>
    <row r="34" spans="1:12" x14ac:dyDescent="0.3">
      <c r="A34" t="s">
        <v>75</v>
      </c>
      <c r="B34">
        <v>45720</v>
      </c>
      <c r="C34" t="s">
        <v>76</v>
      </c>
      <c r="D34">
        <v>1</v>
      </c>
      <c r="E34" s="1">
        <v>665</v>
      </c>
      <c r="F34" s="2">
        <v>0.2</v>
      </c>
      <c r="G34" s="1">
        <v>532</v>
      </c>
      <c r="H34" s="1">
        <v>432.25</v>
      </c>
      <c r="I34" s="1">
        <v>99.75</v>
      </c>
      <c r="J34" t="s">
        <v>23</v>
      </c>
      <c r="K34" t="s">
        <v>24</v>
      </c>
      <c r="L34" t="s">
        <v>21</v>
      </c>
    </row>
    <row r="35" spans="1:12" x14ac:dyDescent="0.3">
      <c r="A35" t="s">
        <v>77</v>
      </c>
      <c r="B35" t="s">
        <v>683</v>
      </c>
      <c r="C35" t="s">
        <v>30</v>
      </c>
      <c r="D35">
        <v>2</v>
      </c>
      <c r="E35" s="1">
        <v>650</v>
      </c>
      <c r="F35" s="2">
        <v>0.2</v>
      </c>
      <c r="G35" s="1">
        <v>1040</v>
      </c>
      <c r="H35" s="1">
        <v>845</v>
      </c>
      <c r="I35" s="1">
        <v>195</v>
      </c>
      <c r="J35" t="s">
        <v>19</v>
      </c>
      <c r="K35" t="s">
        <v>20</v>
      </c>
      <c r="L35" t="s">
        <v>25</v>
      </c>
    </row>
    <row r="36" spans="1:12" x14ac:dyDescent="0.3">
      <c r="A36" t="s">
        <v>78</v>
      </c>
      <c r="B36">
        <v>45780</v>
      </c>
      <c r="C36" t="s">
        <v>18</v>
      </c>
      <c r="D36">
        <v>1</v>
      </c>
      <c r="E36" s="1">
        <v>1800</v>
      </c>
      <c r="F36" s="2">
        <v>0.2</v>
      </c>
      <c r="G36" s="1">
        <v>1440</v>
      </c>
      <c r="H36" s="1">
        <v>1170</v>
      </c>
      <c r="I36" s="1">
        <v>270</v>
      </c>
      <c r="J36" t="s">
        <v>19</v>
      </c>
      <c r="K36" t="s">
        <v>79</v>
      </c>
      <c r="L36" t="s">
        <v>16</v>
      </c>
    </row>
    <row r="37" spans="1:12" x14ac:dyDescent="0.3">
      <c r="A37" t="s">
        <v>80</v>
      </c>
      <c r="B37">
        <v>46193</v>
      </c>
      <c r="C37" t="s">
        <v>76</v>
      </c>
      <c r="D37">
        <v>4</v>
      </c>
      <c r="E37" s="1">
        <v>700</v>
      </c>
      <c r="F37" s="2">
        <v>0.1</v>
      </c>
      <c r="G37" s="1">
        <v>2520</v>
      </c>
      <c r="H37" s="1">
        <v>1820</v>
      </c>
      <c r="I37" s="1">
        <v>700</v>
      </c>
      <c r="J37" t="s">
        <v>14</v>
      </c>
      <c r="K37" t="s">
        <v>36</v>
      </c>
      <c r="L37" t="s">
        <v>25</v>
      </c>
    </row>
    <row r="38" spans="1:12" x14ac:dyDescent="0.3">
      <c r="A38" t="s">
        <v>81</v>
      </c>
      <c r="B38">
        <v>45792</v>
      </c>
      <c r="C38" t="s">
        <v>60</v>
      </c>
      <c r="D38">
        <v>6</v>
      </c>
      <c r="E38" s="1">
        <v>2310</v>
      </c>
      <c r="F38" s="2">
        <v>0</v>
      </c>
      <c r="G38" s="1">
        <v>13860</v>
      </c>
      <c r="H38" s="1">
        <v>9009</v>
      </c>
      <c r="I38" s="1">
        <v>4851</v>
      </c>
      <c r="J38" t="s">
        <v>19</v>
      </c>
      <c r="K38" t="s">
        <v>79</v>
      </c>
      <c r="L38" t="s">
        <v>16</v>
      </c>
    </row>
    <row r="39" spans="1:12" x14ac:dyDescent="0.3">
      <c r="A39" t="s">
        <v>82</v>
      </c>
      <c r="B39">
        <v>45760</v>
      </c>
      <c r="C39" t="s">
        <v>30</v>
      </c>
      <c r="D39">
        <v>5</v>
      </c>
      <c r="E39" s="1">
        <v>650</v>
      </c>
      <c r="F39" s="2">
        <v>0.05</v>
      </c>
      <c r="G39" s="1">
        <v>3087.5</v>
      </c>
      <c r="H39" s="1">
        <v>2112.5</v>
      </c>
      <c r="I39" s="1">
        <v>975</v>
      </c>
      <c r="J39" t="s">
        <v>27</v>
      </c>
      <c r="K39" t="s">
        <v>49</v>
      </c>
      <c r="L39" t="s">
        <v>21</v>
      </c>
    </row>
    <row r="40" spans="1:12" x14ac:dyDescent="0.3">
      <c r="A40" t="s">
        <v>83</v>
      </c>
      <c r="B40">
        <v>46036</v>
      </c>
      <c r="C40" t="s">
        <v>60</v>
      </c>
      <c r="D40">
        <v>8</v>
      </c>
      <c r="E40" s="1">
        <v>2200</v>
      </c>
      <c r="F40" s="2">
        <v>0.2</v>
      </c>
      <c r="G40" s="1">
        <v>14080</v>
      </c>
      <c r="H40" s="1">
        <v>11440</v>
      </c>
      <c r="I40" s="1">
        <v>2640</v>
      </c>
      <c r="J40" t="s">
        <v>27</v>
      </c>
      <c r="K40" t="s">
        <v>49</v>
      </c>
      <c r="L40" t="s">
        <v>16</v>
      </c>
    </row>
    <row r="41" spans="1:12" x14ac:dyDescent="0.3">
      <c r="A41" t="s">
        <v>84</v>
      </c>
      <c r="B41">
        <v>45964</v>
      </c>
      <c r="C41" t="s">
        <v>30</v>
      </c>
      <c r="D41">
        <v>5</v>
      </c>
      <c r="E41" s="1">
        <v>650</v>
      </c>
      <c r="F41" s="2">
        <v>0</v>
      </c>
      <c r="G41" s="1">
        <v>3250</v>
      </c>
      <c r="H41" s="1">
        <v>2112.5</v>
      </c>
      <c r="I41" s="1">
        <v>1137.5</v>
      </c>
      <c r="J41" t="s">
        <v>19</v>
      </c>
      <c r="K41" t="s">
        <v>20</v>
      </c>
      <c r="L41" t="s">
        <v>25</v>
      </c>
    </row>
    <row r="42" spans="1:12" x14ac:dyDescent="0.3">
      <c r="A42" t="s">
        <v>85</v>
      </c>
      <c r="B42">
        <v>45946</v>
      </c>
      <c r="C42" t="s">
        <v>18</v>
      </c>
      <c r="D42">
        <v>6</v>
      </c>
      <c r="E42" s="1">
        <v>1800</v>
      </c>
      <c r="F42" s="2">
        <v>0.05</v>
      </c>
      <c r="G42" s="1">
        <v>10260</v>
      </c>
      <c r="H42" s="1">
        <v>7020</v>
      </c>
      <c r="I42" s="1">
        <v>3240</v>
      </c>
      <c r="J42" t="s">
        <v>27</v>
      </c>
      <c r="K42" t="s">
        <v>52</v>
      </c>
      <c r="L42" t="s">
        <v>25</v>
      </c>
    </row>
    <row r="43" spans="1:12" x14ac:dyDescent="0.3">
      <c r="A43" t="s">
        <v>86</v>
      </c>
      <c r="B43">
        <v>45710</v>
      </c>
      <c r="C43" t="s">
        <v>30</v>
      </c>
      <c r="D43">
        <v>5</v>
      </c>
      <c r="E43" s="1">
        <v>682.5</v>
      </c>
      <c r="F43" s="2">
        <v>0</v>
      </c>
      <c r="G43" s="1">
        <v>3412.5</v>
      </c>
      <c r="H43" s="1">
        <v>2218.12</v>
      </c>
      <c r="I43" s="1">
        <v>1194.3800000000001</v>
      </c>
      <c r="J43" t="s">
        <v>19</v>
      </c>
      <c r="K43" t="s">
        <v>34</v>
      </c>
      <c r="L43" t="s">
        <v>21</v>
      </c>
    </row>
    <row r="44" spans="1:12" x14ac:dyDescent="0.3">
      <c r="A44" t="s">
        <v>87</v>
      </c>
      <c r="B44">
        <v>45926</v>
      </c>
      <c r="C44" t="s">
        <v>88</v>
      </c>
      <c r="D44">
        <v>7</v>
      </c>
      <c r="E44" s="1">
        <v>1575</v>
      </c>
      <c r="F44" s="2">
        <v>0.2</v>
      </c>
      <c r="G44" s="1">
        <v>8820</v>
      </c>
      <c r="H44" s="1">
        <v>7166.25</v>
      </c>
      <c r="I44" s="1">
        <v>1653.75</v>
      </c>
      <c r="J44" t="s">
        <v>19</v>
      </c>
      <c r="K44" t="s">
        <v>70</v>
      </c>
      <c r="L44" t="s">
        <v>21</v>
      </c>
    </row>
    <row r="45" spans="1:12" x14ac:dyDescent="0.3">
      <c r="A45" t="s">
        <v>89</v>
      </c>
      <c r="B45">
        <v>45810</v>
      </c>
      <c r="C45" t="s">
        <v>51</v>
      </c>
      <c r="D45">
        <v>6</v>
      </c>
      <c r="E45" s="1">
        <v>2470</v>
      </c>
      <c r="F45" s="2">
        <v>0.2</v>
      </c>
      <c r="G45" s="1">
        <v>11856</v>
      </c>
      <c r="H45" s="1">
        <v>9633</v>
      </c>
      <c r="I45" s="1">
        <v>2223</v>
      </c>
      <c r="J45" t="s">
        <v>14</v>
      </c>
      <c r="K45" t="s">
        <v>47</v>
      </c>
      <c r="L45" t="s">
        <v>21</v>
      </c>
    </row>
    <row r="46" spans="1:12" x14ac:dyDescent="0.3">
      <c r="A46" t="s">
        <v>90</v>
      </c>
      <c r="B46">
        <v>45700</v>
      </c>
      <c r="C46" t="s">
        <v>60</v>
      </c>
      <c r="D46">
        <v>1</v>
      </c>
      <c r="E46" s="1">
        <v>2200</v>
      </c>
      <c r="F46" s="2">
        <v>0.1</v>
      </c>
      <c r="G46" s="1">
        <v>1980</v>
      </c>
      <c r="H46" s="1"/>
      <c r="I46" s="1">
        <v>550</v>
      </c>
      <c r="J46" t="s">
        <v>14</v>
      </c>
      <c r="K46" t="s">
        <v>40</v>
      </c>
      <c r="L46" t="s">
        <v>16</v>
      </c>
    </row>
    <row r="47" spans="1:12" x14ac:dyDescent="0.3">
      <c r="A47" t="s">
        <v>91</v>
      </c>
      <c r="B47">
        <v>45763</v>
      </c>
      <c r="C47" t="s">
        <v>76</v>
      </c>
      <c r="D47">
        <v>3</v>
      </c>
      <c r="E47" s="1">
        <v>735</v>
      </c>
      <c r="F47" s="2">
        <v>0.05</v>
      </c>
      <c r="G47" s="1">
        <v>2094.75</v>
      </c>
      <c r="H47" s="1">
        <v>1433.25</v>
      </c>
      <c r="I47" s="1">
        <v>661.5</v>
      </c>
      <c r="J47" t="s">
        <v>14</v>
      </c>
      <c r="K47" t="s">
        <v>40</v>
      </c>
      <c r="L47" t="s">
        <v>25</v>
      </c>
    </row>
    <row r="48" spans="1:12" x14ac:dyDescent="0.3">
      <c r="A48" t="s">
        <v>92</v>
      </c>
      <c r="B48">
        <v>45683</v>
      </c>
      <c r="C48" t="s">
        <v>88</v>
      </c>
      <c r="D48">
        <v>7</v>
      </c>
      <c r="E48" s="1">
        <v>1500</v>
      </c>
      <c r="F48" s="2">
        <v>0.05</v>
      </c>
      <c r="G48" s="1">
        <v>9975</v>
      </c>
      <c r="H48" s="1">
        <v>6825</v>
      </c>
      <c r="I48" s="1">
        <v>3150</v>
      </c>
      <c r="J48" t="s">
        <v>27</v>
      </c>
      <c r="K48" t="s">
        <v>28</v>
      </c>
      <c r="L48" t="s">
        <v>16</v>
      </c>
    </row>
    <row r="49" spans="1:12" x14ac:dyDescent="0.3">
      <c r="A49" t="s">
        <v>93</v>
      </c>
      <c r="B49">
        <v>45768</v>
      </c>
      <c r="C49" t="s">
        <v>43</v>
      </c>
      <c r="D49">
        <v>8</v>
      </c>
      <c r="E49" s="1">
        <v>3040</v>
      </c>
      <c r="F49" s="2">
        <v>0.05</v>
      </c>
      <c r="G49" s="1">
        <v>23104</v>
      </c>
      <c r="H49" s="1">
        <v>15808</v>
      </c>
      <c r="I49" s="1">
        <v>7296</v>
      </c>
      <c r="J49" t="s">
        <v>14</v>
      </c>
      <c r="K49" t="s">
        <v>47</v>
      </c>
      <c r="L49" t="s">
        <v>25</v>
      </c>
    </row>
    <row r="50" spans="1:12" x14ac:dyDescent="0.3">
      <c r="A50" t="s">
        <v>94</v>
      </c>
      <c r="B50">
        <v>45970</v>
      </c>
      <c r="C50" t="s">
        <v>39</v>
      </c>
      <c r="D50">
        <v>1</v>
      </c>
      <c r="E50" s="1">
        <v>12500</v>
      </c>
      <c r="F50" s="2">
        <v>0.05</v>
      </c>
      <c r="G50" s="1">
        <v>11875</v>
      </c>
      <c r="H50" s="1">
        <v>8125</v>
      </c>
      <c r="I50" s="1">
        <v>3750</v>
      </c>
      <c r="J50" t="s">
        <v>95</v>
      </c>
      <c r="K50" t="s">
        <v>66</v>
      </c>
      <c r="L50" t="s">
        <v>25</v>
      </c>
    </row>
    <row r="51" spans="1:12" x14ac:dyDescent="0.3">
      <c r="A51" t="s">
        <v>96</v>
      </c>
      <c r="B51">
        <v>45729</v>
      </c>
      <c r="C51" t="s">
        <v>60</v>
      </c>
      <c r="D51">
        <v>7</v>
      </c>
      <c r="E51" s="1">
        <v>2200</v>
      </c>
      <c r="F51" s="2">
        <v>0.2</v>
      </c>
      <c r="G51" s="1">
        <v>12320</v>
      </c>
      <c r="H51" s="1">
        <v>10010</v>
      </c>
      <c r="I51" s="1">
        <v>2310</v>
      </c>
      <c r="J51" t="s">
        <v>27</v>
      </c>
      <c r="K51" t="s">
        <v>49</v>
      </c>
      <c r="L51" t="s">
        <v>21</v>
      </c>
    </row>
    <row r="52" spans="1:12" x14ac:dyDescent="0.3">
      <c r="A52" t="s">
        <v>97</v>
      </c>
      <c r="B52">
        <v>45925</v>
      </c>
      <c r="C52" t="s">
        <v>88</v>
      </c>
      <c r="D52">
        <v>1</v>
      </c>
      <c r="E52" s="1">
        <v>1500</v>
      </c>
      <c r="F52" s="2">
        <v>0</v>
      </c>
      <c r="G52" s="1">
        <v>1500</v>
      </c>
      <c r="H52" s="1">
        <v>975</v>
      </c>
      <c r="I52" s="1">
        <v>525</v>
      </c>
      <c r="J52" t="s">
        <v>23</v>
      </c>
      <c r="K52" t="s">
        <v>66</v>
      </c>
      <c r="L52" t="s">
        <v>16</v>
      </c>
    </row>
    <row r="53" spans="1:12" x14ac:dyDescent="0.3">
      <c r="A53" t="s">
        <v>98</v>
      </c>
      <c r="B53">
        <v>45979</v>
      </c>
      <c r="C53" t="s">
        <v>43</v>
      </c>
      <c r="D53">
        <v>7</v>
      </c>
      <c r="E53" s="1">
        <v>3040</v>
      </c>
      <c r="F53" s="2">
        <v>0.2</v>
      </c>
      <c r="G53" s="1">
        <v>17024</v>
      </c>
      <c r="H53" s="1">
        <v>13832</v>
      </c>
      <c r="I53" s="1">
        <v>3192</v>
      </c>
      <c r="J53" t="s">
        <v>14</v>
      </c>
      <c r="K53" t="s">
        <v>36</v>
      </c>
      <c r="L53" t="s">
        <v>21</v>
      </c>
    </row>
    <row r="54" spans="1:12" x14ac:dyDescent="0.3">
      <c r="A54" t="s">
        <v>99</v>
      </c>
      <c r="B54">
        <v>46104</v>
      </c>
      <c r="C54" t="s">
        <v>13</v>
      </c>
      <c r="D54">
        <v>6</v>
      </c>
      <c r="E54" s="1">
        <v>52000</v>
      </c>
      <c r="F54" s="2">
        <v>0.15</v>
      </c>
      <c r="G54" s="1">
        <v>265200</v>
      </c>
      <c r="H54" s="1">
        <v>202800</v>
      </c>
      <c r="I54" s="1">
        <v>62400</v>
      </c>
      <c r="J54" t="s">
        <v>19</v>
      </c>
      <c r="K54" t="s">
        <v>34</v>
      </c>
      <c r="L54" t="s">
        <v>16</v>
      </c>
    </row>
    <row r="55" spans="1:12" x14ac:dyDescent="0.3">
      <c r="A55" t="s">
        <v>100</v>
      </c>
      <c r="B55">
        <v>45979</v>
      </c>
      <c r="C55" t="s">
        <v>30</v>
      </c>
      <c r="D55">
        <v>5</v>
      </c>
      <c r="E55" s="1">
        <v>650</v>
      </c>
      <c r="F55" s="2">
        <v>0.15</v>
      </c>
      <c r="G55" s="1">
        <v>2762.5</v>
      </c>
      <c r="H55" s="1">
        <v>2112.5</v>
      </c>
      <c r="I55" s="1">
        <v>650</v>
      </c>
      <c r="J55" t="s">
        <v>27</v>
      </c>
      <c r="K55" t="s">
        <v>52</v>
      </c>
      <c r="L55" t="s">
        <v>16</v>
      </c>
    </row>
    <row r="56" spans="1:12" x14ac:dyDescent="0.3">
      <c r="A56" t="s">
        <v>101</v>
      </c>
      <c r="B56">
        <v>45960</v>
      </c>
      <c r="C56" t="s">
        <v>51</v>
      </c>
      <c r="D56">
        <v>4</v>
      </c>
      <c r="E56" s="1">
        <v>2600</v>
      </c>
      <c r="F56" s="2">
        <v>0.15</v>
      </c>
      <c r="G56" s="1">
        <v>8840</v>
      </c>
      <c r="H56" s="1">
        <v>6760</v>
      </c>
      <c r="I56" s="1">
        <v>2080</v>
      </c>
      <c r="J56" t="s">
        <v>23</v>
      </c>
      <c r="K56" t="s">
        <v>24</v>
      </c>
      <c r="L56" t="s">
        <v>16</v>
      </c>
    </row>
    <row r="57" spans="1:12" x14ac:dyDescent="0.3">
      <c r="A57" t="s">
        <v>102</v>
      </c>
      <c r="B57">
        <v>45966</v>
      </c>
      <c r="C57" t="s">
        <v>43</v>
      </c>
      <c r="D57">
        <v>5</v>
      </c>
      <c r="E57" s="1">
        <v>3040</v>
      </c>
      <c r="F57" s="2">
        <v>0.1</v>
      </c>
      <c r="G57" s="1">
        <v>13680</v>
      </c>
      <c r="H57" s="1">
        <v>9880</v>
      </c>
      <c r="I57" s="1">
        <v>3800</v>
      </c>
      <c r="J57" t="s">
        <v>14</v>
      </c>
      <c r="K57" t="s">
        <v>47</v>
      </c>
      <c r="L57" t="s">
        <v>16</v>
      </c>
    </row>
    <row r="58" spans="1:12" x14ac:dyDescent="0.3">
      <c r="A58" t="s">
        <v>103</v>
      </c>
      <c r="B58">
        <v>45987</v>
      </c>
      <c r="C58" t="s">
        <v>56</v>
      </c>
      <c r="D58">
        <v>8</v>
      </c>
      <c r="E58" s="1">
        <v>10290</v>
      </c>
      <c r="F58" s="2">
        <v>0.05</v>
      </c>
      <c r="G58" s="1">
        <v>78204</v>
      </c>
      <c r="H58" s="1">
        <v>53508</v>
      </c>
      <c r="I58" s="1">
        <v>24696</v>
      </c>
      <c r="J58" t="s">
        <v>23</v>
      </c>
      <c r="K58" t="s">
        <v>24</v>
      </c>
      <c r="L58" t="s">
        <v>16</v>
      </c>
    </row>
    <row r="59" spans="1:12" x14ac:dyDescent="0.3">
      <c r="A59" t="s">
        <v>104</v>
      </c>
      <c r="B59">
        <v>45744</v>
      </c>
      <c r="C59" t="s">
        <v>60</v>
      </c>
      <c r="D59">
        <v>2</v>
      </c>
      <c r="E59" s="1">
        <v>2200</v>
      </c>
      <c r="F59" s="2">
        <v>0.05</v>
      </c>
      <c r="G59" s="1">
        <v>4180</v>
      </c>
      <c r="H59" s="1">
        <v>2860</v>
      </c>
      <c r="I59" s="1"/>
      <c r="J59" t="s">
        <v>27</v>
      </c>
      <c r="K59" t="s">
        <v>28</v>
      </c>
      <c r="L59" t="s">
        <v>21</v>
      </c>
    </row>
    <row r="60" spans="1:12" x14ac:dyDescent="0.3">
      <c r="A60" t="s">
        <v>105</v>
      </c>
      <c r="B60">
        <v>45808</v>
      </c>
      <c r="C60" t="s">
        <v>13</v>
      </c>
      <c r="D60">
        <v>4</v>
      </c>
      <c r="E60" s="1">
        <v>49400</v>
      </c>
      <c r="F60" s="2">
        <v>0.15</v>
      </c>
      <c r="G60" s="1">
        <v>167960</v>
      </c>
      <c r="H60" s="1">
        <v>128440</v>
      </c>
      <c r="I60" s="1">
        <v>39520</v>
      </c>
      <c r="J60" t="s">
        <v>19</v>
      </c>
      <c r="K60" t="s">
        <v>79</v>
      </c>
      <c r="L60" t="s">
        <v>25</v>
      </c>
    </row>
    <row r="61" spans="1:12" x14ac:dyDescent="0.3">
      <c r="A61" t="s">
        <v>106</v>
      </c>
      <c r="B61">
        <v>45857</v>
      </c>
      <c r="C61" t="s">
        <v>43</v>
      </c>
      <c r="D61">
        <v>7</v>
      </c>
      <c r="E61" s="1">
        <v>3360</v>
      </c>
      <c r="F61" s="2">
        <v>0.05</v>
      </c>
      <c r="G61" s="1">
        <v>22344</v>
      </c>
      <c r="H61" s="1">
        <v>15288</v>
      </c>
      <c r="I61" s="1">
        <v>7056</v>
      </c>
      <c r="J61" t="s">
        <v>14</v>
      </c>
      <c r="K61" t="s">
        <v>15</v>
      </c>
      <c r="L61" t="s">
        <v>21</v>
      </c>
    </row>
    <row r="62" spans="1:12" x14ac:dyDescent="0.3">
      <c r="A62" t="s">
        <v>107</v>
      </c>
      <c r="B62">
        <v>46093</v>
      </c>
      <c r="C62" t="s">
        <v>39</v>
      </c>
      <c r="D62">
        <v>8</v>
      </c>
      <c r="E62" s="1">
        <v>12500</v>
      </c>
      <c r="F62" s="2">
        <v>0</v>
      </c>
      <c r="G62" s="1">
        <v>100000</v>
      </c>
      <c r="H62" s="1">
        <v>65000</v>
      </c>
      <c r="I62" s="1">
        <v>35000</v>
      </c>
      <c r="J62" t="s">
        <v>14</v>
      </c>
      <c r="K62" t="s">
        <v>15</v>
      </c>
      <c r="L62" t="s">
        <v>25</v>
      </c>
    </row>
    <row r="63" spans="1:12" x14ac:dyDescent="0.3">
      <c r="A63" t="s">
        <v>108</v>
      </c>
      <c r="B63">
        <v>45794</v>
      </c>
      <c r="C63" t="s">
        <v>56</v>
      </c>
      <c r="D63">
        <v>8</v>
      </c>
      <c r="E63" s="1">
        <v>9800</v>
      </c>
      <c r="F63" s="2">
        <v>0.2</v>
      </c>
      <c r="G63" s="1">
        <v>62720</v>
      </c>
      <c r="H63" s="1">
        <v>50960</v>
      </c>
      <c r="I63" s="1">
        <v>11760</v>
      </c>
      <c r="J63" t="s">
        <v>23</v>
      </c>
      <c r="K63" t="s">
        <v>72</v>
      </c>
      <c r="L63" t="s">
        <v>21</v>
      </c>
    </row>
    <row r="64" spans="1:12" x14ac:dyDescent="0.3">
      <c r="A64" t="s">
        <v>109</v>
      </c>
      <c r="B64">
        <v>46144</v>
      </c>
      <c r="C64" t="s">
        <v>56</v>
      </c>
      <c r="D64">
        <v>4</v>
      </c>
      <c r="E64" s="1">
        <v>9800</v>
      </c>
      <c r="F64" s="2">
        <v>0.1</v>
      </c>
      <c r="G64" s="1">
        <v>35280</v>
      </c>
      <c r="H64" s="1">
        <v>25480</v>
      </c>
      <c r="I64" s="1">
        <v>9800</v>
      </c>
      <c r="J64" t="s">
        <v>23</v>
      </c>
      <c r="K64" t="s">
        <v>24</v>
      </c>
      <c r="L64" t="s">
        <v>25</v>
      </c>
    </row>
    <row r="65" spans="1:12" x14ac:dyDescent="0.3">
      <c r="A65" t="s">
        <v>110</v>
      </c>
      <c r="B65">
        <v>46108</v>
      </c>
      <c r="C65" t="s">
        <v>30</v>
      </c>
      <c r="D65">
        <v>4</v>
      </c>
      <c r="E65" s="1">
        <v>650</v>
      </c>
      <c r="F65" s="2">
        <v>0.1</v>
      </c>
      <c r="G65" s="1">
        <v>2340</v>
      </c>
      <c r="H65" s="1">
        <v>1690</v>
      </c>
      <c r="I65" s="1">
        <v>650</v>
      </c>
      <c r="J65" t="s">
        <v>27</v>
      </c>
      <c r="K65" t="s">
        <v>31</v>
      </c>
      <c r="L65" t="s">
        <v>16</v>
      </c>
    </row>
    <row r="66" spans="1:12" x14ac:dyDescent="0.3">
      <c r="A66" t="s">
        <v>111</v>
      </c>
      <c r="B66">
        <v>45740</v>
      </c>
      <c r="C66" t="s">
        <v>88</v>
      </c>
      <c r="D66">
        <v>4</v>
      </c>
      <c r="E66" s="1">
        <v>1500</v>
      </c>
      <c r="F66" s="2">
        <v>0.15</v>
      </c>
      <c r="G66" s="1">
        <v>5100</v>
      </c>
      <c r="H66" s="1">
        <v>3900</v>
      </c>
      <c r="I66" s="1">
        <v>1200</v>
      </c>
      <c r="J66" t="s">
        <v>14</v>
      </c>
      <c r="K66" t="s">
        <v>40</v>
      </c>
      <c r="L66" t="s">
        <v>21</v>
      </c>
    </row>
    <row r="67" spans="1:12" x14ac:dyDescent="0.3">
      <c r="A67" t="s">
        <v>112</v>
      </c>
      <c r="B67">
        <v>46082</v>
      </c>
      <c r="C67" t="s">
        <v>43</v>
      </c>
      <c r="D67">
        <v>8</v>
      </c>
      <c r="E67" s="1">
        <v>3200</v>
      </c>
      <c r="F67" s="2">
        <v>0.15</v>
      </c>
      <c r="G67" s="1">
        <v>21760</v>
      </c>
      <c r="H67" s="1">
        <v>16640</v>
      </c>
      <c r="I67" s="1">
        <v>5120</v>
      </c>
      <c r="J67" t="s">
        <v>19</v>
      </c>
      <c r="K67" t="s">
        <v>20</v>
      </c>
      <c r="L67" t="s">
        <v>113</v>
      </c>
    </row>
    <row r="68" spans="1:12" x14ac:dyDescent="0.3">
      <c r="A68" t="s">
        <v>114</v>
      </c>
      <c r="B68">
        <v>46056</v>
      </c>
      <c r="C68" t="s">
        <v>18</v>
      </c>
      <c r="D68">
        <v>7</v>
      </c>
      <c r="E68" s="1">
        <v>1710</v>
      </c>
      <c r="F68" s="2">
        <v>0.15</v>
      </c>
      <c r="G68" s="1">
        <v>10174.5</v>
      </c>
      <c r="H68" s="1">
        <v>7780.5</v>
      </c>
      <c r="I68" s="1">
        <v>2394</v>
      </c>
      <c r="J68" t="s">
        <v>19</v>
      </c>
      <c r="K68" t="s">
        <v>34</v>
      </c>
      <c r="L68" t="s">
        <v>25</v>
      </c>
    </row>
    <row r="69" spans="1:12" x14ac:dyDescent="0.3">
      <c r="A69" t="s">
        <v>115</v>
      </c>
      <c r="B69">
        <v>46057</v>
      </c>
      <c r="C69" t="s">
        <v>43</v>
      </c>
      <c r="D69">
        <v>8</v>
      </c>
      <c r="E69" s="1">
        <v>3200</v>
      </c>
      <c r="F69" s="2">
        <v>0.05</v>
      </c>
      <c r="G69" s="1">
        <v>24320</v>
      </c>
      <c r="H69" s="1">
        <v>16640</v>
      </c>
      <c r="I69" s="1">
        <v>7680</v>
      </c>
      <c r="J69" t="s">
        <v>27</v>
      </c>
      <c r="K69" t="s">
        <v>52</v>
      </c>
      <c r="L69" t="s">
        <v>25</v>
      </c>
    </row>
    <row r="70" spans="1:12" x14ac:dyDescent="0.3">
      <c r="A70" t="s">
        <v>116</v>
      </c>
      <c r="B70">
        <v>45687</v>
      </c>
      <c r="C70" t="s">
        <v>43</v>
      </c>
      <c r="D70">
        <v>7</v>
      </c>
      <c r="E70" s="1">
        <v>3200</v>
      </c>
      <c r="F70" s="2">
        <v>0.05</v>
      </c>
      <c r="G70" s="1">
        <v>21280</v>
      </c>
      <c r="H70" s="1">
        <v>14560</v>
      </c>
      <c r="I70" s="1">
        <v>6720</v>
      </c>
      <c r="J70" t="s">
        <v>23</v>
      </c>
      <c r="K70" t="s">
        <v>24</v>
      </c>
      <c r="L70" t="s">
        <v>16</v>
      </c>
    </row>
    <row r="71" spans="1:12" x14ac:dyDescent="0.3">
      <c r="A71" t="s">
        <v>117</v>
      </c>
      <c r="B71">
        <v>45685</v>
      </c>
      <c r="C71" t="s">
        <v>43</v>
      </c>
      <c r="D71">
        <v>2</v>
      </c>
      <c r="E71" s="1">
        <v>3040</v>
      </c>
      <c r="F71" s="2">
        <v>0.15</v>
      </c>
      <c r="G71" s="1">
        <v>5168</v>
      </c>
      <c r="H71" s="1">
        <v>3952</v>
      </c>
      <c r="I71" s="1">
        <v>1216</v>
      </c>
      <c r="J71" t="s">
        <v>14</v>
      </c>
      <c r="K71" t="s">
        <v>47</v>
      </c>
      <c r="L71" t="s">
        <v>21</v>
      </c>
    </row>
    <row r="72" spans="1:12" x14ac:dyDescent="0.3">
      <c r="A72" t="s">
        <v>118</v>
      </c>
      <c r="B72">
        <v>45709</v>
      </c>
      <c r="C72" t="s">
        <v>60</v>
      </c>
      <c r="D72">
        <v>6</v>
      </c>
      <c r="E72" s="1">
        <v>2310</v>
      </c>
      <c r="F72" s="2">
        <v>0.05</v>
      </c>
      <c r="G72" s="1">
        <v>13167</v>
      </c>
      <c r="H72" s="1">
        <v>9009</v>
      </c>
      <c r="I72" s="1">
        <v>4158</v>
      </c>
      <c r="J72" t="s">
        <v>23</v>
      </c>
      <c r="K72" t="s">
        <v>66</v>
      </c>
      <c r="L72" t="s">
        <v>25</v>
      </c>
    </row>
    <row r="73" spans="1:12" x14ac:dyDescent="0.3">
      <c r="A73" t="s">
        <v>119</v>
      </c>
      <c r="B73">
        <v>46046</v>
      </c>
      <c r="C73" t="s">
        <v>60</v>
      </c>
      <c r="D73">
        <v>5</v>
      </c>
      <c r="E73" s="1">
        <v>2310</v>
      </c>
      <c r="F73" s="2">
        <v>0</v>
      </c>
      <c r="G73" s="1">
        <v>11550</v>
      </c>
      <c r="H73" s="1">
        <v>7507.5</v>
      </c>
      <c r="I73" s="1">
        <v>4042.5</v>
      </c>
      <c r="J73" t="s">
        <v>23</v>
      </c>
      <c r="K73" t="s">
        <v>61</v>
      </c>
      <c r="L73" t="s">
        <v>16</v>
      </c>
    </row>
    <row r="74" spans="1:12" x14ac:dyDescent="0.3">
      <c r="A74" t="s">
        <v>120</v>
      </c>
      <c r="B74">
        <v>45711</v>
      </c>
      <c r="C74" t="s">
        <v>76</v>
      </c>
      <c r="D74">
        <v>2</v>
      </c>
      <c r="E74" s="1">
        <v>700</v>
      </c>
      <c r="F74" s="2">
        <v>0</v>
      </c>
      <c r="G74" s="1">
        <v>1400</v>
      </c>
      <c r="H74" s="1">
        <v>910</v>
      </c>
      <c r="I74" s="1">
        <v>490</v>
      </c>
      <c r="J74" t="s">
        <v>19</v>
      </c>
      <c r="K74" t="s">
        <v>20</v>
      </c>
      <c r="L74" t="s">
        <v>21</v>
      </c>
    </row>
    <row r="75" spans="1:12" x14ac:dyDescent="0.3">
      <c r="A75" t="s">
        <v>121</v>
      </c>
      <c r="B75">
        <v>45678</v>
      </c>
      <c r="C75" t="s">
        <v>18</v>
      </c>
      <c r="D75">
        <v>4</v>
      </c>
      <c r="E75" s="1">
        <v>1800</v>
      </c>
      <c r="F75" s="2">
        <v>0.05</v>
      </c>
      <c r="G75" s="1">
        <v>6840</v>
      </c>
      <c r="H75" s="1">
        <v>4680</v>
      </c>
      <c r="I75" s="1">
        <v>2160</v>
      </c>
      <c r="J75" t="s">
        <v>23</v>
      </c>
      <c r="K75" t="s">
        <v>61</v>
      </c>
      <c r="L75" t="s">
        <v>16</v>
      </c>
    </row>
    <row r="76" spans="1:12" x14ac:dyDescent="0.3">
      <c r="A76" t="s">
        <v>122</v>
      </c>
      <c r="B76">
        <v>45881</v>
      </c>
      <c r="C76" t="s">
        <v>56</v>
      </c>
      <c r="D76">
        <v>6</v>
      </c>
      <c r="E76" s="1">
        <v>9800</v>
      </c>
      <c r="F76" s="2">
        <v>0.05</v>
      </c>
      <c r="G76" s="1">
        <v>55860</v>
      </c>
      <c r="H76" s="1">
        <v>38220</v>
      </c>
      <c r="I76" s="1">
        <v>17640</v>
      </c>
      <c r="J76" t="s">
        <v>19</v>
      </c>
      <c r="K76" t="s">
        <v>20</v>
      </c>
      <c r="L76" t="s">
        <v>25</v>
      </c>
    </row>
    <row r="77" spans="1:12" x14ac:dyDescent="0.3">
      <c r="A77" t="s">
        <v>123</v>
      </c>
      <c r="B77">
        <v>45768</v>
      </c>
      <c r="C77" t="s">
        <v>18</v>
      </c>
      <c r="D77">
        <v>5</v>
      </c>
      <c r="E77" s="1">
        <v>1710</v>
      </c>
      <c r="F77" s="2">
        <v>0.2</v>
      </c>
      <c r="G77" s="1">
        <v>6840</v>
      </c>
      <c r="H77" s="1">
        <v>5557.5</v>
      </c>
      <c r="I77" s="1">
        <v>1282.5</v>
      </c>
      <c r="J77" t="s">
        <v>23</v>
      </c>
      <c r="K77" t="s">
        <v>72</v>
      </c>
      <c r="L77" t="s">
        <v>16</v>
      </c>
    </row>
    <row r="78" spans="1:12" x14ac:dyDescent="0.3">
      <c r="A78" t="s">
        <v>124</v>
      </c>
      <c r="B78">
        <v>45861</v>
      </c>
      <c r="C78" t="s">
        <v>30</v>
      </c>
      <c r="D78">
        <v>2</v>
      </c>
      <c r="E78" s="1">
        <v>650</v>
      </c>
      <c r="F78" s="2">
        <v>0.1</v>
      </c>
      <c r="G78" s="1">
        <v>1170</v>
      </c>
      <c r="H78" s="1">
        <v>845</v>
      </c>
      <c r="I78" s="1">
        <v>325</v>
      </c>
      <c r="J78" t="s">
        <v>19</v>
      </c>
      <c r="K78" t="s">
        <v>70</v>
      </c>
      <c r="L78" t="s">
        <v>25</v>
      </c>
    </row>
    <row r="79" spans="1:12" x14ac:dyDescent="0.3">
      <c r="A79" t="s">
        <v>125</v>
      </c>
      <c r="B79">
        <v>46203</v>
      </c>
      <c r="C79" t="s">
        <v>43</v>
      </c>
      <c r="D79">
        <v>2</v>
      </c>
      <c r="E79" s="1">
        <v>3200</v>
      </c>
      <c r="F79" s="2">
        <v>0.2</v>
      </c>
      <c r="G79" s="1">
        <v>5120</v>
      </c>
      <c r="H79" s="1">
        <v>4160</v>
      </c>
      <c r="I79" s="1">
        <v>960</v>
      </c>
      <c r="J79" t="s">
        <v>27</v>
      </c>
      <c r="K79" t="s">
        <v>49</v>
      </c>
      <c r="L79" t="s">
        <v>25</v>
      </c>
    </row>
    <row r="80" spans="1:12" x14ac:dyDescent="0.3">
      <c r="A80" t="s">
        <v>126</v>
      </c>
      <c r="B80">
        <v>46159</v>
      </c>
      <c r="C80" t="s">
        <v>30</v>
      </c>
      <c r="D80">
        <v>6</v>
      </c>
      <c r="E80" s="1">
        <v>682.5</v>
      </c>
      <c r="F80" s="2">
        <v>0.15</v>
      </c>
      <c r="G80" s="1">
        <v>3480.75</v>
      </c>
      <c r="H80" s="1">
        <v>2661.75</v>
      </c>
      <c r="I80" s="1">
        <v>819</v>
      </c>
      <c r="J80" t="s">
        <v>14</v>
      </c>
      <c r="K80" t="s">
        <v>47</v>
      </c>
      <c r="L80" t="s">
        <v>21</v>
      </c>
    </row>
    <row r="81" spans="1:12" x14ac:dyDescent="0.3">
      <c r="A81" t="s">
        <v>127</v>
      </c>
      <c r="B81">
        <v>46192</v>
      </c>
      <c r="C81" t="s">
        <v>60</v>
      </c>
      <c r="D81">
        <v>8</v>
      </c>
      <c r="E81" s="1">
        <v>2310</v>
      </c>
      <c r="F81" s="2">
        <v>0.15</v>
      </c>
      <c r="G81" s="1">
        <v>15708</v>
      </c>
      <c r="H81" s="1">
        <v>12012</v>
      </c>
      <c r="I81" s="1">
        <v>3696</v>
      </c>
      <c r="J81" t="s">
        <v>27</v>
      </c>
      <c r="K81" t="s">
        <v>31</v>
      </c>
      <c r="L81" t="s">
        <v>21</v>
      </c>
    </row>
    <row r="82" spans="1:12" x14ac:dyDescent="0.3">
      <c r="A82" t="s">
        <v>128</v>
      </c>
      <c r="B82">
        <v>45746</v>
      </c>
      <c r="C82" t="s">
        <v>60</v>
      </c>
      <c r="D82">
        <v>4</v>
      </c>
      <c r="E82" s="1">
        <v>2310</v>
      </c>
      <c r="F82" s="2">
        <v>0.15</v>
      </c>
      <c r="G82" s="1">
        <v>7854</v>
      </c>
      <c r="H82" s="1">
        <v>6006</v>
      </c>
      <c r="I82" s="1">
        <v>1848</v>
      </c>
      <c r="J82" t="s">
        <v>23</v>
      </c>
      <c r="K82" t="s">
        <v>66</v>
      </c>
      <c r="L82" t="s">
        <v>21</v>
      </c>
    </row>
    <row r="83" spans="1:12" x14ac:dyDescent="0.3">
      <c r="A83" t="s">
        <v>129</v>
      </c>
      <c r="B83">
        <v>46164</v>
      </c>
      <c r="C83" t="s">
        <v>76</v>
      </c>
      <c r="D83">
        <v>8</v>
      </c>
      <c r="E83" s="1">
        <v>700</v>
      </c>
      <c r="F83" s="2">
        <v>0.05</v>
      </c>
      <c r="G83" s="1">
        <v>5320</v>
      </c>
      <c r="H83" s="1">
        <v>3640</v>
      </c>
      <c r="I83" s="1">
        <v>1680</v>
      </c>
      <c r="J83" t="s">
        <v>27</v>
      </c>
      <c r="K83" t="s">
        <v>31</v>
      </c>
      <c r="L83" t="s">
        <v>25</v>
      </c>
    </row>
    <row r="84" spans="1:12" x14ac:dyDescent="0.3">
      <c r="A84" t="s">
        <v>130</v>
      </c>
      <c r="B84">
        <v>45944</v>
      </c>
      <c r="C84" t="s">
        <v>18</v>
      </c>
      <c r="D84">
        <v>1</v>
      </c>
      <c r="E84" s="1">
        <v>1800</v>
      </c>
      <c r="F84" s="2">
        <v>0.2</v>
      </c>
      <c r="G84" s="1">
        <v>1440</v>
      </c>
      <c r="H84" s="1">
        <v>1170</v>
      </c>
      <c r="I84" s="1">
        <v>270</v>
      </c>
      <c r="J84" t="s">
        <v>14</v>
      </c>
      <c r="K84" t="s">
        <v>15</v>
      </c>
      <c r="L84" t="s">
        <v>21</v>
      </c>
    </row>
    <row r="85" spans="1:12" x14ac:dyDescent="0.3">
      <c r="A85" t="s">
        <v>131</v>
      </c>
      <c r="B85">
        <v>46074</v>
      </c>
      <c r="C85" t="s">
        <v>56</v>
      </c>
      <c r="D85">
        <v>8</v>
      </c>
      <c r="E85" s="1">
        <v>9800</v>
      </c>
      <c r="F85" s="2">
        <v>0.15</v>
      </c>
      <c r="G85" s="1">
        <v>66640</v>
      </c>
      <c r="H85" s="1">
        <v>50960</v>
      </c>
      <c r="I85" s="1">
        <v>15680</v>
      </c>
      <c r="J85" t="s">
        <v>23</v>
      </c>
      <c r="K85" t="s">
        <v>61</v>
      </c>
      <c r="L85" t="s">
        <v>21</v>
      </c>
    </row>
    <row r="86" spans="1:12" x14ac:dyDescent="0.3">
      <c r="A86" t="s">
        <v>132</v>
      </c>
      <c r="B86">
        <v>45959</v>
      </c>
      <c r="C86" t="s">
        <v>39</v>
      </c>
      <c r="D86">
        <v>4</v>
      </c>
      <c r="E86" s="1">
        <v>13125</v>
      </c>
      <c r="F86" s="2">
        <v>0.1</v>
      </c>
      <c r="G86" s="1">
        <v>47250</v>
      </c>
      <c r="H86" s="1">
        <v>34125</v>
      </c>
      <c r="I86" s="1">
        <v>13125</v>
      </c>
      <c r="J86" t="s">
        <v>27</v>
      </c>
      <c r="K86" t="s">
        <v>52</v>
      </c>
      <c r="L86" t="s">
        <v>16</v>
      </c>
    </row>
    <row r="87" spans="1:12" x14ac:dyDescent="0.3">
      <c r="A87" t="s">
        <v>133</v>
      </c>
      <c r="B87">
        <v>46201</v>
      </c>
      <c r="C87" t="s">
        <v>76</v>
      </c>
      <c r="D87">
        <v>6</v>
      </c>
      <c r="E87" s="1">
        <v>735</v>
      </c>
      <c r="F87" s="2">
        <v>0.1</v>
      </c>
      <c r="G87" s="1">
        <v>3969</v>
      </c>
      <c r="H87" s="1">
        <v>2866.5</v>
      </c>
      <c r="I87" s="1">
        <v>1102.5</v>
      </c>
      <c r="J87" t="s">
        <v>23</v>
      </c>
      <c r="K87" t="s">
        <v>66</v>
      </c>
      <c r="L87" t="s">
        <v>25</v>
      </c>
    </row>
    <row r="88" spans="1:12" x14ac:dyDescent="0.3">
      <c r="A88" t="s">
        <v>134</v>
      </c>
      <c r="B88">
        <v>45915</v>
      </c>
      <c r="C88" t="s">
        <v>39</v>
      </c>
      <c r="D88">
        <v>4</v>
      </c>
      <c r="E88" s="1">
        <v>11875</v>
      </c>
      <c r="F88" s="2">
        <v>0.1</v>
      </c>
      <c r="G88" s="1">
        <v>42750</v>
      </c>
      <c r="H88" s="1">
        <v>30875</v>
      </c>
      <c r="I88" s="1">
        <v>11875</v>
      </c>
      <c r="J88" t="s">
        <v>19</v>
      </c>
      <c r="K88" t="s">
        <v>20</v>
      </c>
      <c r="L88" t="s">
        <v>21</v>
      </c>
    </row>
    <row r="89" spans="1:12" x14ac:dyDescent="0.3">
      <c r="A89" t="s">
        <v>135</v>
      </c>
      <c r="B89">
        <v>45879</v>
      </c>
      <c r="C89" t="s">
        <v>56</v>
      </c>
      <c r="D89">
        <v>5</v>
      </c>
      <c r="E89" s="1">
        <v>9800</v>
      </c>
      <c r="F89" s="2">
        <v>0</v>
      </c>
      <c r="G89" s="1">
        <v>49000</v>
      </c>
      <c r="H89" s="1">
        <v>31850</v>
      </c>
      <c r="I89" s="1">
        <v>17150</v>
      </c>
      <c r="J89" t="s">
        <v>14</v>
      </c>
      <c r="K89" t="s">
        <v>36</v>
      </c>
      <c r="L89" t="s">
        <v>21</v>
      </c>
    </row>
    <row r="90" spans="1:12" x14ac:dyDescent="0.3">
      <c r="A90" t="s">
        <v>136</v>
      </c>
      <c r="B90">
        <v>46027</v>
      </c>
      <c r="C90" t="s">
        <v>88</v>
      </c>
      <c r="D90">
        <v>1</v>
      </c>
      <c r="E90" s="1">
        <v>1500</v>
      </c>
      <c r="F90" s="2">
        <v>0.2</v>
      </c>
      <c r="G90" s="1"/>
      <c r="H90" s="1">
        <v>975</v>
      </c>
      <c r="I90" s="1">
        <v>225</v>
      </c>
      <c r="J90" t="s">
        <v>14</v>
      </c>
      <c r="K90" t="s">
        <v>36</v>
      </c>
      <c r="L90" t="s">
        <v>21</v>
      </c>
    </row>
    <row r="91" spans="1:12" x14ac:dyDescent="0.3">
      <c r="A91" t="s">
        <v>137</v>
      </c>
      <c r="B91">
        <v>45713</v>
      </c>
      <c r="C91" t="s">
        <v>51</v>
      </c>
      <c r="D91">
        <v>3</v>
      </c>
      <c r="E91" s="1">
        <v>2600</v>
      </c>
      <c r="F91" s="2">
        <v>0.15</v>
      </c>
      <c r="G91" s="1">
        <v>6630</v>
      </c>
      <c r="H91" s="1">
        <v>5070</v>
      </c>
      <c r="I91" s="1">
        <v>1560</v>
      </c>
      <c r="J91" t="s">
        <v>19</v>
      </c>
      <c r="K91" t="s">
        <v>70</v>
      </c>
      <c r="L91" t="s">
        <v>16</v>
      </c>
    </row>
    <row r="92" spans="1:12" x14ac:dyDescent="0.3">
      <c r="A92" t="s">
        <v>138</v>
      </c>
      <c r="B92">
        <v>45949</v>
      </c>
      <c r="C92" t="s">
        <v>56</v>
      </c>
      <c r="D92">
        <v>8</v>
      </c>
      <c r="E92" s="1">
        <v>10290</v>
      </c>
      <c r="F92" s="2">
        <v>0.1</v>
      </c>
      <c r="G92" s="1">
        <v>74088</v>
      </c>
      <c r="H92" s="1">
        <v>53508</v>
      </c>
      <c r="I92" s="1">
        <v>20580</v>
      </c>
      <c r="J92" t="s">
        <v>14</v>
      </c>
      <c r="K92" t="s">
        <v>15</v>
      </c>
      <c r="L92" t="s">
        <v>25</v>
      </c>
    </row>
    <row r="93" spans="1:12" x14ac:dyDescent="0.3">
      <c r="A93" t="s">
        <v>139</v>
      </c>
      <c r="B93">
        <v>46147</v>
      </c>
      <c r="C93" t="s">
        <v>30</v>
      </c>
      <c r="D93">
        <v>7</v>
      </c>
      <c r="E93" s="1">
        <v>617.5</v>
      </c>
      <c r="F93" s="2">
        <v>0.15</v>
      </c>
      <c r="G93" s="1">
        <v>3674.12</v>
      </c>
      <c r="H93" s="1">
        <v>2809.62</v>
      </c>
      <c r="I93" s="1">
        <v>864.5</v>
      </c>
      <c r="J93" t="s">
        <v>19</v>
      </c>
      <c r="K93" t="s">
        <v>70</v>
      </c>
      <c r="L93" t="s">
        <v>21</v>
      </c>
    </row>
    <row r="94" spans="1:12" x14ac:dyDescent="0.3">
      <c r="A94" t="s">
        <v>140</v>
      </c>
      <c r="B94">
        <v>45810</v>
      </c>
      <c r="C94" t="s">
        <v>18</v>
      </c>
      <c r="D94">
        <v>2</v>
      </c>
      <c r="E94" s="1">
        <v>1800</v>
      </c>
      <c r="F94" s="2">
        <v>0.05</v>
      </c>
      <c r="G94" s="1">
        <v>3420</v>
      </c>
      <c r="H94" s="1">
        <v>2340</v>
      </c>
      <c r="I94" s="1">
        <v>1080</v>
      </c>
      <c r="J94" t="s">
        <v>19</v>
      </c>
      <c r="K94" t="s">
        <v>79</v>
      </c>
      <c r="L94" t="s">
        <v>16</v>
      </c>
    </row>
    <row r="95" spans="1:12" x14ac:dyDescent="0.3">
      <c r="A95" t="s">
        <v>141</v>
      </c>
      <c r="B95">
        <v>45889</v>
      </c>
      <c r="C95" t="s">
        <v>51</v>
      </c>
      <c r="D95">
        <v>8</v>
      </c>
      <c r="E95" s="1">
        <v>2730</v>
      </c>
      <c r="F95" s="2">
        <v>0.15</v>
      </c>
      <c r="G95" s="1">
        <v>18564</v>
      </c>
      <c r="H95" s="1">
        <v>14196</v>
      </c>
      <c r="I95" s="1">
        <v>4368</v>
      </c>
      <c r="J95" t="s">
        <v>27</v>
      </c>
      <c r="K95" t="s">
        <v>52</v>
      </c>
      <c r="L95" t="s">
        <v>25</v>
      </c>
    </row>
    <row r="96" spans="1:12" x14ac:dyDescent="0.3">
      <c r="A96" t="s">
        <v>142</v>
      </c>
      <c r="B96">
        <v>45719</v>
      </c>
      <c r="C96" t="s">
        <v>18</v>
      </c>
      <c r="D96">
        <v>4</v>
      </c>
      <c r="E96" s="1">
        <v>1710</v>
      </c>
      <c r="F96" s="2">
        <v>0.05</v>
      </c>
      <c r="G96" s="1">
        <v>6498</v>
      </c>
      <c r="H96" s="1">
        <v>4446</v>
      </c>
      <c r="I96" s="1">
        <v>2052</v>
      </c>
      <c r="J96" t="s">
        <v>27</v>
      </c>
      <c r="K96" t="s">
        <v>49</v>
      </c>
      <c r="L96" t="s">
        <v>21</v>
      </c>
    </row>
    <row r="97" spans="1:12" x14ac:dyDescent="0.3">
      <c r="A97" t="s">
        <v>143</v>
      </c>
      <c r="B97">
        <v>45903</v>
      </c>
      <c r="C97" t="s">
        <v>88</v>
      </c>
      <c r="D97">
        <v>3</v>
      </c>
      <c r="E97" s="1">
        <v>1425</v>
      </c>
      <c r="F97" s="2">
        <v>0</v>
      </c>
      <c r="G97" s="1">
        <v>4275</v>
      </c>
      <c r="H97" s="1">
        <v>2778.75</v>
      </c>
      <c r="I97" s="1">
        <v>1496.25</v>
      </c>
      <c r="J97" t="s">
        <v>23</v>
      </c>
      <c r="K97" t="s">
        <v>72</v>
      </c>
      <c r="L97" t="s">
        <v>16</v>
      </c>
    </row>
    <row r="98" spans="1:12" x14ac:dyDescent="0.3">
      <c r="A98" t="s">
        <v>144</v>
      </c>
      <c r="B98">
        <v>46139</v>
      </c>
      <c r="C98" t="s">
        <v>60</v>
      </c>
      <c r="D98">
        <v>4</v>
      </c>
      <c r="E98" s="1">
        <v>2090</v>
      </c>
      <c r="F98" s="2">
        <v>0.1</v>
      </c>
      <c r="G98" s="1">
        <v>7524</v>
      </c>
      <c r="H98" s="1">
        <v>5434</v>
      </c>
      <c r="I98" s="1">
        <v>2090</v>
      </c>
      <c r="J98" t="s">
        <v>27</v>
      </c>
      <c r="K98" t="s">
        <v>52</v>
      </c>
      <c r="L98" t="s">
        <v>21</v>
      </c>
    </row>
    <row r="99" spans="1:12" x14ac:dyDescent="0.3">
      <c r="A99" t="s">
        <v>145</v>
      </c>
      <c r="B99">
        <v>45897</v>
      </c>
      <c r="C99" t="s">
        <v>60</v>
      </c>
      <c r="D99">
        <v>7</v>
      </c>
      <c r="E99" s="1">
        <v>2200</v>
      </c>
      <c r="F99" s="2">
        <v>0</v>
      </c>
      <c r="G99" s="1">
        <v>15400</v>
      </c>
      <c r="H99" s="1">
        <v>10010</v>
      </c>
      <c r="I99" s="1">
        <v>5390</v>
      </c>
      <c r="J99" t="s">
        <v>14</v>
      </c>
      <c r="K99" t="s">
        <v>40</v>
      </c>
      <c r="L99" t="s">
        <v>25</v>
      </c>
    </row>
    <row r="100" spans="1:12" x14ac:dyDescent="0.3">
      <c r="A100" t="s">
        <v>146</v>
      </c>
      <c r="B100">
        <v>45803</v>
      </c>
      <c r="C100" t="s">
        <v>30</v>
      </c>
      <c r="D100">
        <v>3</v>
      </c>
      <c r="E100" s="1">
        <v>617.5</v>
      </c>
      <c r="F100" s="2">
        <v>0.1</v>
      </c>
      <c r="G100" s="1">
        <v>1667.25</v>
      </c>
      <c r="H100" s="1">
        <v>1204.1199999999999</v>
      </c>
      <c r="I100" s="1">
        <v>463.13</v>
      </c>
      <c r="J100" t="s">
        <v>27</v>
      </c>
      <c r="K100" t="s">
        <v>52</v>
      </c>
      <c r="L100" t="s">
        <v>21</v>
      </c>
    </row>
    <row r="101" spans="1:12" x14ac:dyDescent="0.3">
      <c r="A101" t="s">
        <v>147</v>
      </c>
      <c r="B101">
        <v>46137</v>
      </c>
      <c r="C101" t="s">
        <v>60</v>
      </c>
      <c r="D101">
        <v>5</v>
      </c>
      <c r="E101" s="1">
        <v>2310</v>
      </c>
      <c r="F101" s="2">
        <v>0.2</v>
      </c>
      <c r="G101" s="1">
        <v>9240</v>
      </c>
      <c r="H101" s="1">
        <v>7507.5</v>
      </c>
      <c r="I101" s="1">
        <v>1732.5</v>
      </c>
      <c r="J101" t="s">
        <v>23</v>
      </c>
      <c r="K101" t="s">
        <v>72</v>
      </c>
      <c r="L101" t="s">
        <v>21</v>
      </c>
    </row>
    <row r="102" spans="1:12" x14ac:dyDescent="0.3">
      <c r="A102" t="s">
        <v>148</v>
      </c>
      <c r="B102">
        <v>45698</v>
      </c>
      <c r="C102" t="s">
        <v>43</v>
      </c>
      <c r="D102">
        <v>5</v>
      </c>
      <c r="E102" s="1">
        <v>3200</v>
      </c>
      <c r="F102" s="2">
        <v>0</v>
      </c>
      <c r="G102" s="1">
        <v>16000</v>
      </c>
      <c r="H102" s="1">
        <v>10400</v>
      </c>
      <c r="I102" s="1">
        <v>5600</v>
      </c>
      <c r="J102" t="s">
        <v>19</v>
      </c>
      <c r="K102" t="s">
        <v>20</v>
      </c>
      <c r="L102" t="s">
        <v>16</v>
      </c>
    </row>
    <row r="103" spans="1:12" x14ac:dyDescent="0.3">
      <c r="A103" t="s">
        <v>149</v>
      </c>
      <c r="B103">
        <v>45679</v>
      </c>
      <c r="C103" t="s">
        <v>60</v>
      </c>
      <c r="D103">
        <v>3</v>
      </c>
      <c r="E103" s="1">
        <v>2090</v>
      </c>
      <c r="F103" s="2">
        <v>0.15</v>
      </c>
      <c r="G103" s="1">
        <v>5329.5</v>
      </c>
      <c r="H103" s="1">
        <v>4075.5</v>
      </c>
      <c r="I103" s="1">
        <v>1254</v>
      </c>
      <c r="J103" t="s">
        <v>23</v>
      </c>
      <c r="K103" t="s">
        <v>66</v>
      </c>
      <c r="L103" t="s">
        <v>21</v>
      </c>
    </row>
    <row r="104" spans="1:12" x14ac:dyDescent="0.3">
      <c r="A104" t="s">
        <v>150</v>
      </c>
      <c r="B104">
        <v>46104</v>
      </c>
      <c r="C104" t="s">
        <v>684</v>
      </c>
      <c r="D104">
        <v>8</v>
      </c>
      <c r="E104" s="1">
        <v>9310</v>
      </c>
      <c r="F104" s="2">
        <v>0.1</v>
      </c>
      <c r="G104" s="1">
        <v>67032</v>
      </c>
      <c r="H104" s="1">
        <v>48412</v>
      </c>
      <c r="I104" s="1">
        <v>18620</v>
      </c>
      <c r="J104" t="s">
        <v>23</v>
      </c>
      <c r="K104" t="s">
        <v>66</v>
      </c>
      <c r="L104" t="s">
        <v>25</v>
      </c>
    </row>
    <row r="105" spans="1:12" x14ac:dyDescent="0.3">
      <c r="A105" t="s">
        <v>151</v>
      </c>
      <c r="B105">
        <v>45765</v>
      </c>
      <c r="C105" t="s">
        <v>88</v>
      </c>
      <c r="D105">
        <v>7</v>
      </c>
      <c r="E105" s="1">
        <v>1500</v>
      </c>
      <c r="F105" s="2">
        <v>0.15</v>
      </c>
      <c r="G105" s="1">
        <v>8925</v>
      </c>
      <c r="H105" s="1">
        <v>6825</v>
      </c>
      <c r="I105" s="1">
        <v>2100</v>
      </c>
      <c r="J105" t="s">
        <v>27</v>
      </c>
      <c r="K105" t="s">
        <v>52</v>
      </c>
      <c r="L105" t="s">
        <v>16</v>
      </c>
    </row>
    <row r="106" spans="1:12" x14ac:dyDescent="0.3">
      <c r="A106" t="s">
        <v>152</v>
      </c>
      <c r="B106">
        <v>45695</v>
      </c>
      <c r="C106" t="s">
        <v>56</v>
      </c>
      <c r="D106">
        <v>6</v>
      </c>
      <c r="E106" s="1">
        <v>9310</v>
      </c>
      <c r="F106" s="2">
        <v>0.1</v>
      </c>
      <c r="G106" s="1">
        <v>50274</v>
      </c>
      <c r="H106" s="1">
        <v>36309</v>
      </c>
      <c r="I106" s="1">
        <v>13965</v>
      </c>
      <c r="J106" t="s">
        <v>27</v>
      </c>
      <c r="K106" t="s">
        <v>49</v>
      </c>
      <c r="L106" t="s">
        <v>25</v>
      </c>
    </row>
    <row r="107" spans="1:12" x14ac:dyDescent="0.3">
      <c r="A107" t="s">
        <v>153</v>
      </c>
      <c r="B107">
        <v>46184</v>
      </c>
      <c r="C107" t="s">
        <v>13</v>
      </c>
      <c r="D107">
        <v>7</v>
      </c>
      <c r="E107" s="1">
        <v>54600</v>
      </c>
      <c r="F107" s="2">
        <v>0</v>
      </c>
      <c r="G107" s="1">
        <v>382200</v>
      </c>
      <c r="H107" s="1">
        <v>248430</v>
      </c>
      <c r="I107" s="1">
        <v>133770</v>
      </c>
      <c r="J107" t="s">
        <v>14</v>
      </c>
      <c r="K107" t="s">
        <v>36</v>
      </c>
      <c r="L107" t="s">
        <v>16</v>
      </c>
    </row>
    <row r="108" spans="1:12" x14ac:dyDescent="0.3">
      <c r="A108" t="s">
        <v>154</v>
      </c>
      <c r="B108">
        <v>46168</v>
      </c>
      <c r="C108" t="s">
        <v>56</v>
      </c>
      <c r="D108">
        <v>4</v>
      </c>
      <c r="E108" s="1">
        <v>9310</v>
      </c>
      <c r="F108" s="2">
        <v>0.1</v>
      </c>
      <c r="G108" s="1">
        <v>33516</v>
      </c>
      <c r="H108" s="1">
        <v>24206</v>
      </c>
      <c r="I108" s="1">
        <v>9310</v>
      </c>
      <c r="J108" t="s">
        <v>14</v>
      </c>
      <c r="K108" t="s">
        <v>36</v>
      </c>
      <c r="L108" t="s">
        <v>25</v>
      </c>
    </row>
    <row r="109" spans="1:12" x14ac:dyDescent="0.3">
      <c r="A109" t="s">
        <v>155</v>
      </c>
      <c r="B109">
        <v>46154</v>
      </c>
      <c r="C109" t="s">
        <v>30</v>
      </c>
      <c r="D109">
        <v>4</v>
      </c>
      <c r="E109" s="1">
        <v>617.5</v>
      </c>
      <c r="F109" s="2">
        <v>0.05</v>
      </c>
      <c r="G109" s="1">
        <v>2346.5</v>
      </c>
      <c r="H109" s="1">
        <v>1605.5</v>
      </c>
      <c r="I109" s="1">
        <v>741</v>
      </c>
      <c r="J109" t="s">
        <v>27</v>
      </c>
      <c r="K109" t="s">
        <v>49</v>
      </c>
      <c r="L109" t="s">
        <v>16</v>
      </c>
    </row>
    <row r="110" spans="1:12" x14ac:dyDescent="0.3">
      <c r="A110" t="s">
        <v>156</v>
      </c>
      <c r="B110">
        <v>46075</v>
      </c>
      <c r="C110" t="s">
        <v>30</v>
      </c>
      <c r="D110">
        <v>2</v>
      </c>
      <c r="E110" s="1">
        <v>650</v>
      </c>
      <c r="F110" s="2">
        <v>0.15</v>
      </c>
      <c r="G110" s="1">
        <v>1105</v>
      </c>
      <c r="H110" s="1">
        <v>845</v>
      </c>
      <c r="I110" s="1">
        <v>260</v>
      </c>
      <c r="J110" t="s">
        <v>19</v>
      </c>
      <c r="K110" t="s">
        <v>20</v>
      </c>
      <c r="L110" t="s">
        <v>25</v>
      </c>
    </row>
    <row r="111" spans="1:12" x14ac:dyDescent="0.3">
      <c r="A111" t="s">
        <v>157</v>
      </c>
      <c r="B111">
        <v>45956</v>
      </c>
      <c r="C111" t="s">
        <v>51</v>
      </c>
      <c r="D111">
        <v>7</v>
      </c>
      <c r="E111" s="1">
        <v>2600</v>
      </c>
      <c r="F111" s="2">
        <v>0.15</v>
      </c>
      <c r="G111" s="1">
        <v>15470</v>
      </c>
      <c r="H111" s="1">
        <v>11830</v>
      </c>
      <c r="I111" s="1">
        <v>3640</v>
      </c>
      <c r="J111" t="s">
        <v>23</v>
      </c>
      <c r="K111" t="s">
        <v>24</v>
      </c>
      <c r="L111" t="s">
        <v>25</v>
      </c>
    </row>
    <row r="112" spans="1:12" x14ac:dyDescent="0.3">
      <c r="A112" t="s">
        <v>158</v>
      </c>
      <c r="B112">
        <v>45806</v>
      </c>
      <c r="C112" t="s">
        <v>43</v>
      </c>
      <c r="D112">
        <v>3</v>
      </c>
      <c r="E112" s="1">
        <v>3200</v>
      </c>
      <c r="F112" s="2">
        <v>0</v>
      </c>
      <c r="G112" s="1">
        <v>9600</v>
      </c>
      <c r="H112" s="1">
        <v>6240</v>
      </c>
      <c r="I112" s="1">
        <v>3360</v>
      </c>
      <c r="J112" t="s">
        <v>27</v>
      </c>
      <c r="K112" t="s">
        <v>52</v>
      </c>
      <c r="L112" t="s">
        <v>25</v>
      </c>
    </row>
    <row r="113" spans="1:12" x14ac:dyDescent="0.3">
      <c r="A113" t="s">
        <v>159</v>
      </c>
      <c r="B113">
        <v>46177</v>
      </c>
      <c r="C113" t="s">
        <v>60</v>
      </c>
      <c r="D113">
        <v>5</v>
      </c>
      <c r="E113" s="1">
        <v>2090</v>
      </c>
      <c r="F113" s="2">
        <v>0.1</v>
      </c>
      <c r="G113" s="1">
        <v>9405</v>
      </c>
      <c r="H113" s="1">
        <v>6792.5</v>
      </c>
      <c r="I113" s="1">
        <v>2612.5</v>
      </c>
      <c r="J113" t="s">
        <v>23</v>
      </c>
      <c r="K113" t="s">
        <v>24</v>
      </c>
      <c r="L113" t="s">
        <v>25</v>
      </c>
    </row>
    <row r="114" spans="1:12" x14ac:dyDescent="0.3">
      <c r="A114" t="s">
        <v>160</v>
      </c>
      <c r="B114">
        <v>46153</v>
      </c>
      <c r="C114" t="s">
        <v>76</v>
      </c>
      <c r="D114">
        <v>7</v>
      </c>
      <c r="E114" s="1">
        <v>700</v>
      </c>
      <c r="F114" s="2">
        <v>0.15</v>
      </c>
      <c r="G114" s="1">
        <v>4165</v>
      </c>
      <c r="H114" s="1">
        <v>3185</v>
      </c>
      <c r="I114" s="1">
        <v>980</v>
      </c>
      <c r="J114" t="s">
        <v>27</v>
      </c>
      <c r="K114" t="s">
        <v>28</v>
      </c>
      <c r="L114" t="s">
        <v>16</v>
      </c>
    </row>
    <row r="115" spans="1:12" x14ac:dyDescent="0.3">
      <c r="A115" t="s">
        <v>161</v>
      </c>
      <c r="B115">
        <v>45902</v>
      </c>
      <c r="C115" t="s">
        <v>18</v>
      </c>
      <c r="D115">
        <v>4</v>
      </c>
      <c r="E115" s="1">
        <v>1890</v>
      </c>
      <c r="F115" s="2">
        <v>0.15</v>
      </c>
      <c r="G115" s="1">
        <v>6426</v>
      </c>
      <c r="H115" s="1">
        <v>4914</v>
      </c>
      <c r="I115" s="1">
        <v>1512</v>
      </c>
      <c r="J115" t="s">
        <v>19</v>
      </c>
      <c r="K115" t="s">
        <v>34</v>
      </c>
      <c r="L115" t="s">
        <v>16</v>
      </c>
    </row>
    <row r="116" spans="1:12" x14ac:dyDescent="0.3">
      <c r="A116" t="s">
        <v>162</v>
      </c>
      <c r="B116">
        <v>46142</v>
      </c>
      <c r="C116" t="s">
        <v>43</v>
      </c>
      <c r="D116">
        <v>3</v>
      </c>
      <c r="E116" s="1">
        <v>3360</v>
      </c>
      <c r="F116" s="2">
        <v>0.15</v>
      </c>
      <c r="G116" s="1">
        <v>8568</v>
      </c>
      <c r="H116" s="1">
        <v>6552</v>
      </c>
      <c r="I116" s="1">
        <v>2016</v>
      </c>
      <c r="J116" t="s">
        <v>19</v>
      </c>
      <c r="K116" t="s">
        <v>20</v>
      </c>
      <c r="L116" t="s">
        <v>16</v>
      </c>
    </row>
    <row r="117" spans="1:12" x14ac:dyDescent="0.3">
      <c r="A117" t="s">
        <v>163</v>
      </c>
      <c r="B117">
        <v>45997</v>
      </c>
      <c r="C117" t="s">
        <v>30</v>
      </c>
      <c r="D117">
        <v>2</v>
      </c>
      <c r="E117" s="1">
        <v>682.5</v>
      </c>
      <c r="F117" s="2">
        <v>0.2</v>
      </c>
      <c r="G117" s="1">
        <v>1092</v>
      </c>
      <c r="H117" s="1">
        <v>887.25</v>
      </c>
      <c r="I117" s="1">
        <v>204.75</v>
      </c>
      <c r="J117" t="s">
        <v>23</v>
      </c>
      <c r="K117" t="s">
        <v>61</v>
      </c>
      <c r="L117" t="s">
        <v>16</v>
      </c>
    </row>
    <row r="118" spans="1:12" x14ac:dyDescent="0.3">
      <c r="A118" t="s">
        <v>164</v>
      </c>
      <c r="B118">
        <v>45805</v>
      </c>
      <c r="C118" t="s">
        <v>43</v>
      </c>
      <c r="D118">
        <v>2</v>
      </c>
      <c r="E118" s="1">
        <v>3200</v>
      </c>
      <c r="F118" s="2">
        <v>0.15</v>
      </c>
      <c r="G118" s="1">
        <v>5440</v>
      </c>
      <c r="H118" s="1">
        <v>4160</v>
      </c>
      <c r="I118" s="1">
        <v>1280</v>
      </c>
      <c r="J118" t="s">
        <v>27</v>
      </c>
      <c r="K118" t="s">
        <v>31</v>
      </c>
      <c r="L118" t="s">
        <v>16</v>
      </c>
    </row>
    <row r="119" spans="1:12" x14ac:dyDescent="0.3">
      <c r="A119" t="s">
        <v>165</v>
      </c>
      <c r="B119">
        <v>46065</v>
      </c>
      <c r="C119" t="s">
        <v>30</v>
      </c>
      <c r="D119">
        <v>7</v>
      </c>
      <c r="E119" s="1">
        <v>650</v>
      </c>
      <c r="F119" s="2">
        <v>0.1</v>
      </c>
      <c r="G119" s="1">
        <v>4095</v>
      </c>
      <c r="H119" s="1">
        <v>2957.5</v>
      </c>
      <c r="I119" s="1">
        <v>1137.5</v>
      </c>
      <c r="J119" t="s">
        <v>23</v>
      </c>
      <c r="K119" t="s">
        <v>61</v>
      </c>
      <c r="L119" t="s">
        <v>16</v>
      </c>
    </row>
    <row r="120" spans="1:12" x14ac:dyDescent="0.3">
      <c r="A120" t="s">
        <v>166</v>
      </c>
      <c r="B120">
        <v>45728</v>
      </c>
      <c r="C120" t="s">
        <v>39</v>
      </c>
      <c r="D120">
        <v>4</v>
      </c>
      <c r="E120" s="1">
        <v>12500</v>
      </c>
      <c r="F120" s="2">
        <v>0</v>
      </c>
      <c r="G120" s="1">
        <v>50000</v>
      </c>
      <c r="H120" s="1">
        <v>32500</v>
      </c>
      <c r="I120" s="1">
        <v>17500</v>
      </c>
      <c r="J120" t="s">
        <v>23</v>
      </c>
      <c r="K120" t="s">
        <v>61</v>
      </c>
      <c r="L120" t="s">
        <v>16</v>
      </c>
    </row>
    <row r="121" spans="1:12" x14ac:dyDescent="0.3">
      <c r="A121" t="s">
        <v>167</v>
      </c>
      <c r="B121">
        <v>45760</v>
      </c>
      <c r="C121" t="s">
        <v>56</v>
      </c>
      <c r="D121">
        <v>5</v>
      </c>
      <c r="E121" s="1">
        <v>9800</v>
      </c>
      <c r="F121" s="2">
        <v>0</v>
      </c>
      <c r="G121" s="1">
        <v>49000</v>
      </c>
      <c r="H121" s="1">
        <v>31850</v>
      </c>
      <c r="I121" s="1">
        <v>17150</v>
      </c>
      <c r="J121" t="s">
        <v>33</v>
      </c>
      <c r="K121" t="s">
        <v>34</v>
      </c>
      <c r="L121" t="s">
        <v>21</v>
      </c>
    </row>
    <row r="122" spans="1:12" x14ac:dyDescent="0.3">
      <c r="A122" t="s">
        <v>168</v>
      </c>
      <c r="B122">
        <v>45958</v>
      </c>
      <c r="C122" t="s">
        <v>76</v>
      </c>
      <c r="D122">
        <v>7</v>
      </c>
      <c r="E122" s="1">
        <v>700</v>
      </c>
      <c r="F122" s="2">
        <v>0.05</v>
      </c>
      <c r="G122" s="1">
        <v>4655</v>
      </c>
      <c r="H122" s="1">
        <v>3185</v>
      </c>
      <c r="I122" s="1">
        <v>1470</v>
      </c>
      <c r="J122" t="s">
        <v>14</v>
      </c>
      <c r="K122" t="s">
        <v>47</v>
      </c>
      <c r="L122" t="s">
        <v>16</v>
      </c>
    </row>
    <row r="123" spans="1:12" x14ac:dyDescent="0.3">
      <c r="A123" t="s">
        <v>169</v>
      </c>
      <c r="B123">
        <v>45842</v>
      </c>
      <c r="C123" t="s">
        <v>88</v>
      </c>
      <c r="D123">
        <v>2</v>
      </c>
      <c r="E123" s="1">
        <v>1500</v>
      </c>
      <c r="F123" s="2">
        <v>0.2</v>
      </c>
      <c r="G123" s="1">
        <v>2400</v>
      </c>
      <c r="H123" s="1">
        <v>1950</v>
      </c>
      <c r="I123" s="1">
        <v>450</v>
      </c>
      <c r="J123" t="s">
        <v>23</v>
      </c>
      <c r="K123" t="s">
        <v>24</v>
      </c>
      <c r="L123" t="s">
        <v>25</v>
      </c>
    </row>
    <row r="124" spans="1:12" x14ac:dyDescent="0.3">
      <c r="A124" t="s">
        <v>170</v>
      </c>
      <c r="B124">
        <v>45804</v>
      </c>
      <c r="C124" t="s">
        <v>39</v>
      </c>
      <c r="D124">
        <v>5</v>
      </c>
      <c r="E124" s="1">
        <v>13125</v>
      </c>
      <c r="F124" s="2">
        <v>0.15</v>
      </c>
      <c r="G124" s="1">
        <v>55781.25</v>
      </c>
      <c r="H124" s="1">
        <v>42656.25</v>
      </c>
      <c r="I124" s="1">
        <v>13125</v>
      </c>
      <c r="J124" t="s">
        <v>27</v>
      </c>
      <c r="K124" t="s">
        <v>49</v>
      </c>
      <c r="L124" t="s">
        <v>25</v>
      </c>
    </row>
    <row r="125" spans="1:12" x14ac:dyDescent="0.3">
      <c r="A125" t="s">
        <v>171</v>
      </c>
      <c r="B125">
        <v>45952</v>
      </c>
      <c r="C125" t="s">
        <v>51</v>
      </c>
      <c r="D125">
        <v>2</v>
      </c>
      <c r="E125" s="1">
        <v>2600</v>
      </c>
      <c r="F125" s="2">
        <v>0.15</v>
      </c>
      <c r="G125" s="1">
        <v>4420</v>
      </c>
      <c r="H125" s="1">
        <v>3380</v>
      </c>
      <c r="I125" s="1">
        <v>1040</v>
      </c>
      <c r="J125" t="s">
        <v>27</v>
      </c>
      <c r="K125" t="s">
        <v>31</v>
      </c>
      <c r="L125" t="s">
        <v>16</v>
      </c>
    </row>
    <row r="126" spans="1:12" x14ac:dyDescent="0.3">
      <c r="A126" t="s">
        <v>172</v>
      </c>
      <c r="B126">
        <v>46092</v>
      </c>
      <c r="C126" t="s">
        <v>60</v>
      </c>
      <c r="D126">
        <v>5</v>
      </c>
      <c r="E126" s="1">
        <v>2310</v>
      </c>
      <c r="F126" s="2">
        <v>0.05</v>
      </c>
      <c r="G126" s="1">
        <v>10972.5</v>
      </c>
      <c r="H126" s="1">
        <v>7507.5</v>
      </c>
      <c r="I126" s="1">
        <v>3465</v>
      </c>
      <c r="J126" t="s">
        <v>23</v>
      </c>
      <c r="K126" t="s">
        <v>72</v>
      </c>
      <c r="L126" t="s">
        <v>21</v>
      </c>
    </row>
    <row r="127" spans="1:12" x14ac:dyDescent="0.3">
      <c r="A127" t="s">
        <v>173</v>
      </c>
      <c r="B127">
        <v>45900</v>
      </c>
      <c r="C127" t="s">
        <v>43</v>
      </c>
      <c r="D127">
        <v>5</v>
      </c>
      <c r="E127" s="1">
        <v>3200</v>
      </c>
      <c r="F127" s="2">
        <v>0.1</v>
      </c>
      <c r="G127" s="1">
        <v>14400</v>
      </c>
      <c r="H127" s="1">
        <v>10400</v>
      </c>
      <c r="I127" s="1">
        <v>4000</v>
      </c>
      <c r="J127" t="s">
        <v>19</v>
      </c>
      <c r="K127" t="s">
        <v>79</v>
      </c>
      <c r="L127" t="s">
        <v>25</v>
      </c>
    </row>
    <row r="128" spans="1:12" x14ac:dyDescent="0.3">
      <c r="A128" t="s">
        <v>174</v>
      </c>
      <c r="B128">
        <v>45666</v>
      </c>
      <c r="C128" t="s">
        <v>18</v>
      </c>
      <c r="D128">
        <v>8</v>
      </c>
      <c r="E128" s="1">
        <v>1710</v>
      </c>
      <c r="F128" s="2">
        <v>0.1</v>
      </c>
      <c r="G128" s="1">
        <v>12312</v>
      </c>
      <c r="H128" s="1">
        <v>8892</v>
      </c>
      <c r="I128" s="1">
        <v>3420</v>
      </c>
      <c r="J128" t="s">
        <v>14</v>
      </c>
      <c r="K128" t="s">
        <v>36</v>
      </c>
      <c r="L128" t="s">
        <v>21</v>
      </c>
    </row>
    <row r="129" spans="1:12" x14ac:dyDescent="0.3">
      <c r="A129" t="s">
        <v>175</v>
      </c>
      <c r="B129">
        <v>45852</v>
      </c>
      <c r="C129" t="s">
        <v>18</v>
      </c>
      <c r="D129">
        <v>3</v>
      </c>
      <c r="E129" s="1">
        <v>1800</v>
      </c>
      <c r="F129" s="2">
        <v>0</v>
      </c>
      <c r="G129" s="1">
        <v>5400</v>
      </c>
      <c r="H129" s="1">
        <v>3510</v>
      </c>
      <c r="I129" s="1">
        <v>1890</v>
      </c>
      <c r="J129" t="s">
        <v>19</v>
      </c>
      <c r="K129" t="s">
        <v>34</v>
      </c>
      <c r="L129" t="s">
        <v>25</v>
      </c>
    </row>
    <row r="130" spans="1:12" x14ac:dyDescent="0.3">
      <c r="A130" t="s">
        <v>176</v>
      </c>
      <c r="B130">
        <v>45692</v>
      </c>
      <c r="C130" t="s">
        <v>18</v>
      </c>
      <c r="D130">
        <v>3</v>
      </c>
      <c r="E130" s="1">
        <v>1800</v>
      </c>
      <c r="F130" s="2">
        <v>0</v>
      </c>
      <c r="G130" s="1">
        <v>5400</v>
      </c>
      <c r="H130" s="1">
        <v>3510</v>
      </c>
      <c r="I130" s="1">
        <v>1890</v>
      </c>
      <c r="J130" t="s">
        <v>27</v>
      </c>
      <c r="K130" t="s">
        <v>31</v>
      </c>
      <c r="L130" t="s">
        <v>16</v>
      </c>
    </row>
    <row r="131" spans="1:12" x14ac:dyDescent="0.3">
      <c r="A131" t="s">
        <v>177</v>
      </c>
      <c r="B131">
        <v>46083</v>
      </c>
      <c r="C131" t="s">
        <v>88</v>
      </c>
      <c r="D131">
        <v>3</v>
      </c>
      <c r="E131" s="1">
        <v>1500</v>
      </c>
      <c r="F131" s="2">
        <v>0.2</v>
      </c>
      <c r="G131" s="1">
        <v>3600</v>
      </c>
      <c r="H131" s="1">
        <v>2925</v>
      </c>
      <c r="I131" s="1">
        <v>675</v>
      </c>
      <c r="J131" t="s">
        <v>27</v>
      </c>
      <c r="K131" t="s">
        <v>31</v>
      </c>
      <c r="L131" t="s">
        <v>21</v>
      </c>
    </row>
    <row r="132" spans="1:12" x14ac:dyDescent="0.3">
      <c r="A132" t="s">
        <v>178</v>
      </c>
      <c r="B132">
        <v>45921</v>
      </c>
      <c r="C132" t="s">
        <v>56</v>
      </c>
      <c r="D132">
        <v>6</v>
      </c>
      <c r="E132" s="1">
        <v>9800</v>
      </c>
      <c r="F132" s="2">
        <v>0</v>
      </c>
      <c r="G132" s="1">
        <v>58800</v>
      </c>
      <c r="H132" s="1">
        <v>38220</v>
      </c>
      <c r="I132" s="1">
        <v>20580</v>
      </c>
      <c r="J132" t="s">
        <v>23</v>
      </c>
      <c r="K132" t="s">
        <v>61</v>
      </c>
      <c r="L132" t="s">
        <v>21</v>
      </c>
    </row>
    <row r="133" spans="1:12" x14ac:dyDescent="0.3">
      <c r="A133" t="s">
        <v>179</v>
      </c>
      <c r="B133">
        <v>45889</v>
      </c>
      <c r="C133" t="s">
        <v>43</v>
      </c>
      <c r="D133">
        <v>2</v>
      </c>
      <c r="E133" s="1">
        <v>3200</v>
      </c>
      <c r="F133" s="2">
        <v>0.15</v>
      </c>
      <c r="G133" s="1">
        <v>5440</v>
      </c>
      <c r="H133" s="1">
        <v>4160</v>
      </c>
      <c r="I133" s="1">
        <v>1280</v>
      </c>
      <c r="J133" t="s">
        <v>19</v>
      </c>
      <c r="K133" t="s">
        <v>34</v>
      </c>
      <c r="L133" t="s">
        <v>16</v>
      </c>
    </row>
    <row r="134" spans="1:12" x14ac:dyDescent="0.3">
      <c r="A134" t="s">
        <v>180</v>
      </c>
      <c r="B134">
        <v>45784</v>
      </c>
      <c r="C134" t="s">
        <v>56</v>
      </c>
      <c r="D134">
        <v>5</v>
      </c>
      <c r="E134" s="1">
        <v>9800</v>
      </c>
      <c r="F134" s="2">
        <v>0.2</v>
      </c>
      <c r="G134" s="1">
        <v>39200</v>
      </c>
      <c r="H134" s="1">
        <v>31850</v>
      </c>
      <c r="I134" s="1">
        <v>7350</v>
      </c>
      <c r="J134" t="s">
        <v>23</v>
      </c>
      <c r="K134" t="s">
        <v>66</v>
      </c>
      <c r="L134" t="s">
        <v>21</v>
      </c>
    </row>
    <row r="135" spans="1:12" x14ac:dyDescent="0.3">
      <c r="A135" t="s">
        <v>181</v>
      </c>
      <c r="B135">
        <v>45897</v>
      </c>
      <c r="C135" t="s">
        <v>56</v>
      </c>
      <c r="D135">
        <v>6</v>
      </c>
      <c r="E135" s="1">
        <v>9310</v>
      </c>
      <c r="F135" s="2">
        <v>0.2</v>
      </c>
      <c r="G135" s="1">
        <v>44688</v>
      </c>
      <c r="H135" s="1">
        <v>36309</v>
      </c>
      <c r="I135" s="1">
        <v>8379</v>
      </c>
      <c r="J135" t="s">
        <v>14</v>
      </c>
      <c r="K135" t="s">
        <v>15</v>
      </c>
      <c r="L135" t="s">
        <v>16</v>
      </c>
    </row>
    <row r="136" spans="1:12" x14ac:dyDescent="0.3">
      <c r="A136" t="s">
        <v>182</v>
      </c>
      <c r="B136">
        <v>46133</v>
      </c>
      <c r="C136" t="s">
        <v>60</v>
      </c>
      <c r="D136">
        <v>2</v>
      </c>
      <c r="E136" s="1">
        <v>2310</v>
      </c>
      <c r="F136" s="2">
        <v>0.05</v>
      </c>
      <c r="G136" s="1">
        <v>4389</v>
      </c>
      <c r="H136" s="1">
        <v>3003</v>
      </c>
      <c r="I136" s="1">
        <v>1386</v>
      </c>
      <c r="J136" t="s">
        <v>19</v>
      </c>
      <c r="K136" t="s">
        <v>70</v>
      </c>
      <c r="L136" t="s">
        <v>25</v>
      </c>
    </row>
    <row r="137" spans="1:12" x14ac:dyDescent="0.3">
      <c r="A137" t="s">
        <v>183</v>
      </c>
      <c r="B137">
        <v>46162</v>
      </c>
      <c r="C137" t="s">
        <v>30</v>
      </c>
      <c r="D137">
        <v>4</v>
      </c>
      <c r="E137" s="1">
        <v>617.5</v>
      </c>
      <c r="F137" s="2">
        <v>0.2</v>
      </c>
      <c r="G137" s="1">
        <v>1976</v>
      </c>
      <c r="H137" s="1">
        <v>1605.5</v>
      </c>
      <c r="I137" s="1">
        <v>370.5</v>
      </c>
      <c r="J137" t="s">
        <v>14</v>
      </c>
      <c r="K137" t="s">
        <v>47</v>
      </c>
      <c r="L137" t="s">
        <v>25</v>
      </c>
    </row>
    <row r="138" spans="1:12" x14ac:dyDescent="0.3">
      <c r="A138" t="s">
        <v>184</v>
      </c>
      <c r="B138">
        <v>46037</v>
      </c>
      <c r="C138" t="s">
        <v>51</v>
      </c>
      <c r="D138">
        <v>3</v>
      </c>
      <c r="E138" s="1">
        <v>2730</v>
      </c>
      <c r="F138" s="2">
        <v>0.15</v>
      </c>
      <c r="G138" s="1">
        <v>6961.5</v>
      </c>
      <c r="H138" s="1">
        <v>5323.5</v>
      </c>
      <c r="I138" s="1">
        <v>1638</v>
      </c>
      <c r="J138" t="s">
        <v>19</v>
      </c>
      <c r="K138" t="s">
        <v>79</v>
      </c>
      <c r="L138" t="s">
        <v>16</v>
      </c>
    </row>
    <row r="139" spans="1:12" x14ac:dyDescent="0.3">
      <c r="A139" t="s">
        <v>185</v>
      </c>
      <c r="B139">
        <v>46075</v>
      </c>
      <c r="C139" t="s">
        <v>60</v>
      </c>
      <c r="D139">
        <v>6</v>
      </c>
      <c r="E139" s="1">
        <v>2090</v>
      </c>
      <c r="F139" s="2">
        <v>0.05</v>
      </c>
      <c r="G139" s="1">
        <v>11913</v>
      </c>
      <c r="H139" s="1">
        <v>8151</v>
      </c>
      <c r="I139" s="1">
        <v>3762</v>
      </c>
      <c r="J139" t="s">
        <v>23</v>
      </c>
      <c r="K139" t="s">
        <v>72</v>
      </c>
      <c r="L139" t="s">
        <v>21</v>
      </c>
    </row>
    <row r="140" spans="1:12" x14ac:dyDescent="0.3">
      <c r="A140" t="s">
        <v>186</v>
      </c>
      <c r="B140">
        <v>46029</v>
      </c>
      <c r="C140" t="s">
        <v>30</v>
      </c>
      <c r="D140">
        <v>6</v>
      </c>
      <c r="E140" s="1">
        <v>650</v>
      </c>
      <c r="F140" s="2">
        <v>0</v>
      </c>
      <c r="G140" s="1">
        <v>3900</v>
      </c>
      <c r="H140" s="1">
        <v>2535</v>
      </c>
      <c r="I140" s="1">
        <v>1365</v>
      </c>
      <c r="J140" t="s">
        <v>23</v>
      </c>
      <c r="K140" t="s">
        <v>66</v>
      </c>
      <c r="L140" t="s">
        <v>21</v>
      </c>
    </row>
    <row r="141" spans="1:12" x14ac:dyDescent="0.3">
      <c r="A141" t="s">
        <v>187</v>
      </c>
      <c r="B141">
        <v>45783</v>
      </c>
      <c r="C141" t="s">
        <v>56</v>
      </c>
      <c r="D141">
        <v>4</v>
      </c>
      <c r="E141" s="1">
        <v>9310</v>
      </c>
      <c r="F141" s="2">
        <v>0.2</v>
      </c>
      <c r="G141" s="1">
        <v>29792</v>
      </c>
      <c r="H141" s="1">
        <v>24206</v>
      </c>
      <c r="I141" s="1">
        <v>5586</v>
      </c>
      <c r="J141" t="s">
        <v>19</v>
      </c>
      <c r="K141" t="s">
        <v>70</v>
      </c>
      <c r="L141" t="s">
        <v>25</v>
      </c>
    </row>
    <row r="142" spans="1:12" x14ac:dyDescent="0.3">
      <c r="A142" t="s">
        <v>188</v>
      </c>
      <c r="B142">
        <v>45907</v>
      </c>
      <c r="C142" t="s">
        <v>88</v>
      </c>
      <c r="D142">
        <v>2</v>
      </c>
      <c r="E142" s="1">
        <v>1500</v>
      </c>
      <c r="F142" s="2">
        <v>0.2</v>
      </c>
      <c r="G142" s="1">
        <v>2400</v>
      </c>
      <c r="H142" s="1">
        <v>1950</v>
      </c>
      <c r="I142" s="1">
        <v>450</v>
      </c>
      <c r="J142" t="s">
        <v>14</v>
      </c>
      <c r="K142" t="s">
        <v>40</v>
      </c>
      <c r="L142" t="s">
        <v>21</v>
      </c>
    </row>
    <row r="143" spans="1:12" x14ac:dyDescent="0.3">
      <c r="A143" t="s">
        <v>189</v>
      </c>
      <c r="B143">
        <v>45994</v>
      </c>
      <c r="C143" t="s">
        <v>88</v>
      </c>
      <c r="D143">
        <v>5</v>
      </c>
      <c r="E143" s="1">
        <v>1425</v>
      </c>
      <c r="F143" s="2">
        <v>0.05</v>
      </c>
      <c r="G143" s="1">
        <v>6768.75</v>
      </c>
      <c r="H143" s="1">
        <v>4631.25</v>
      </c>
      <c r="I143" s="1">
        <v>2137.5</v>
      </c>
      <c r="J143" t="s">
        <v>14</v>
      </c>
      <c r="K143" t="s">
        <v>36</v>
      </c>
      <c r="L143" t="s">
        <v>21</v>
      </c>
    </row>
    <row r="144" spans="1:12" x14ac:dyDescent="0.3">
      <c r="A144" t="s">
        <v>190</v>
      </c>
      <c r="B144">
        <v>45770</v>
      </c>
      <c r="C144" t="s">
        <v>13</v>
      </c>
      <c r="D144">
        <v>1</v>
      </c>
      <c r="E144" s="1">
        <v>52000</v>
      </c>
      <c r="F144" s="2">
        <v>0.1</v>
      </c>
      <c r="G144" s="1">
        <v>46800</v>
      </c>
      <c r="H144" s="1">
        <v>33800</v>
      </c>
      <c r="I144" s="1">
        <v>13000</v>
      </c>
      <c r="J144" t="s">
        <v>14</v>
      </c>
      <c r="K144" t="s">
        <v>36</v>
      </c>
      <c r="L144" t="s">
        <v>21</v>
      </c>
    </row>
    <row r="145" spans="1:12" x14ac:dyDescent="0.3">
      <c r="A145" t="s">
        <v>191</v>
      </c>
      <c r="B145" t="s">
        <v>685</v>
      </c>
      <c r="C145" t="s">
        <v>60</v>
      </c>
      <c r="D145">
        <v>3</v>
      </c>
      <c r="E145" s="1">
        <v>2090</v>
      </c>
      <c r="F145" s="2">
        <v>0.15</v>
      </c>
      <c r="G145" s="1">
        <v>5329.5</v>
      </c>
      <c r="H145" s="1">
        <v>4075.5</v>
      </c>
      <c r="I145" s="1">
        <v>1254</v>
      </c>
      <c r="J145" t="s">
        <v>19</v>
      </c>
      <c r="K145" t="s">
        <v>70</v>
      </c>
      <c r="L145" t="s">
        <v>25</v>
      </c>
    </row>
    <row r="146" spans="1:12" x14ac:dyDescent="0.3">
      <c r="A146" t="s">
        <v>192</v>
      </c>
      <c r="B146">
        <v>46117</v>
      </c>
      <c r="C146" t="s">
        <v>76</v>
      </c>
      <c r="D146">
        <v>8</v>
      </c>
      <c r="E146" s="1">
        <v>665</v>
      </c>
      <c r="F146" s="2">
        <v>0.2</v>
      </c>
      <c r="G146" s="1">
        <v>4256</v>
      </c>
      <c r="H146" s="1">
        <v>3458</v>
      </c>
      <c r="I146" s="1">
        <v>798</v>
      </c>
      <c r="J146" t="s">
        <v>14</v>
      </c>
      <c r="K146" t="s">
        <v>15</v>
      </c>
      <c r="L146" t="s">
        <v>16</v>
      </c>
    </row>
    <row r="147" spans="1:12" x14ac:dyDescent="0.3">
      <c r="A147" t="s">
        <v>193</v>
      </c>
      <c r="B147">
        <v>46191</v>
      </c>
      <c r="C147" t="s">
        <v>60</v>
      </c>
      <c r="D147">
        <v>1</v>
      </c>
      <c r="E147" s="1">
        <v>2310</v>
      </c>
      <c r="F147" s="2">
        <v>0</v>
      </c>
      <c r="G147" s="1">
        <v>2310</v>
      </c>
      <c r="H147" s="1">
        <v>1501.5</v>
      </c>
      <c r="I147" s="1">
        <v>808.5</v>
      </c>
      <c r="J147" t="s">
        <v>23</v>
      </c>
      <c r="K147" t="s">
        <v>72</v>
      </c>
      <c r="L147" t="s">
        <v>25</v>
      </c>
    </row>
    <row r="148" spans="1:12" x14ac:dyDescent="0.3">
      <c r="A148" t="s">
        <v>194</v>
      </c>
      <c r="B148">
        <v>45768</v>
      </c>
      <c r="C148" t="s">
        <v>56</v>
      </c>
      <c r="D148">
        <v>2</v>
      </c>
      <c r="E148" s="1">
        <v>10290</v>
      </c>
      <c r="F148" s="2">
        <v>0</v>
      </c>
      <c r="G148" s="1">
        <v>20580</v>
      </c>
      <c r="H148" s="1">
        <v>13377</v>
      </c>
      <c r="I148" s="1">
        <v>7203</v>
      </c>
      <c r="J148" t="s">
        <v>27</v>
      </c>
      <c r="K148" t="s">
        <v>28</v>
      </c>
      <c r="L148" t="s">
        <v>21</v>
      </c>
    </row>
    <row r="149" spans="1:12" x14ac:dyDescent="0.3">
      <c r="A149" t="s">
        <v>195</v>
      </c>
      <c r="B149">
        <v>45787</v>
      </c>
      <c r="C149" t="s">
        <v>60</v>
      </c>
      <c r="D149">
        <v>7</v>
      </c>
      <c r="E149" s="1">
        <v>2200</v>
      </c>
      <c r="F149" s="2">
        <v>0.2</v>
      </c>
      <c r="G149" s="1">
        <v>12320</v>
      </c>
      <c r="H149" s="1">
        <v>10010</v>
      </c>
      <c r="I149" s="1">
        <v>2310</v>
      </c>
      <c r="J149" t="s">
        <v>27</v>
      </c>
      <c r="K149" t="s">
        <v>52</v>
      </c>
      <c r="L149" t="s">
        <v>16</v>
      </c>
    </row>
    <row r="150" spans="1:12" x14ac:dyDescent="0.3">
      <c r="A150" t="s">
        <v>196</v>
      </c>
      <c r="B150">
        <v>46098</v>
      </c>
      <c r="C150" t="s">
        <v>30</v>
      </c>
      <c r="D150">
        <v>4</v>
      </c>
      <c r="E150" s="1">
        <v>617.5</v>
      </c>
      <c r="F150" s="2">
        <v>0.15</v>
      </c>
      <c r="G150" s="1">
        <v>2099.5</v>
      </c>
      <c r="H150" s="1">
        <v>1605.5</v>
      </c>
      <c r="I150" s="1">
        <v>494</v>
      </c>
      <c r="J150" t="s">
        <v>23</v>
      </c>
      <c r="K150" t="s">
        <v>24</v>
      </c>
      <c r="L150" t="s">
        <v>25</v>
      </c>
    </row>
    <row r="151" spans="1:12" x14ac:dyDescent="0.3">
      <c r="A151" t="s">
        <v>197</v>
      </c>
      <c r="B151">
        <v>46005</v>
      </c>
      <c r="C151" t="s">
        <v>56</v>
      </c>
      <c r="D151">
        <v>7</v>
      </c>
      <c r="E151" s="1">
        <v>10290</v>
      </c>
      <c r="F151" s="2">
        <v>0</v>
      </c>
      <c r="G151" s="1">
        <v>72030</v>
      </c>
      <c r="H151" s="1">
        <v>46819.5</v>
      </c>
      <c r="I151" s="1">
        <v>25210.5</v>
      </c>
      <c r="J151" t="s">
        <v>27</v>
      </c>
      <c r="K151" t="s">
        <v>52</v>
      </c>
      <c r="L151" t="s">
        <v>25</v>
      </c>
    </row>
    <row r="152" spans="1:12" x14ac:dyDescent="0.3">
      <c r="A152" t="s">
        <v>198</v>
      </c>
      <c r="B152">
        <v>45919</v>
      </c>
      <c r="C152" t="s">
        <v>76</v>
      </c>
      <c r="D152">
        <v>8</v>
      </c>
      <c r="E152" s="1">
        <v>700</v>
      </c>
      <c r="F152" s="2">
        <v>0</v>
      </c>
      <c r="G152" s="1">
        <v>5600</v>
      </c>
      <c r="H152" s="1">
        <v>3640</v>
      </c>
      <c r="I152" s="1">
        <v>1960</v>
      </c>
      <c r="J152" t="s">
        <v>19</v>
      </c>
      <c r="K152" t="s">
        <v>70</v>
      </c>
      <c r="L152" t="s">
        <v>21</v>
      </c>
    </row>
    <row r="153" spans="1:12" x14ac:dyDescent="0.3">
      <c r="A153" t="s">
        <v>199</v>
      </c>
      <c r="B153">
        <v>46100</v>
      </c>
      <c r="C153" t="s">
        <v>30</v>
      </c>
      <c r="D153">
        <v>3</v>
      </c>
      <c r="E153" s="1">
        <v>650</v>
      </c>
      <c r="F153" s="2">
        <v>0.2</v>
      </c>
      <c r="G153" s="1">
        <v>1560</v>
      </c>
      <c r="H153" s="1">
        <v>1267.5</v>
      </c>
      <c r="I153" s="1">
        <v>292.5</v>
      </c>
      <c r="J153" t="s">
        <v>19</v>
      </c>
      <c r="K153" t="s">
        <v>34</v>
      </c>
      <c r="L153" t="s">
        <v>16</v>
      </c>
    </row>
    <row r="154" spans="1:12" x14ac:dyDescent="0.3">
      <c r="A154" t="s">
        <v>200</v>
      </c>
      <c r="B154">
        <v>45783</v>
      </c>
      <c r="C154" t="s">
        <v>43</v>
      </c>
      <c r="D154">
        <v>7</v>
      </c>
      <c r="E154" s="1">
        <v>3200</v>
      </c>
      <c r="F154" s="2">
        <v>0</v>
      </c>
      <c r="G154" s="1">
        <v>22400</v>
      </c>
      <c r="H154" s="1">
        <v>14560</v>
      </c>
      <c r="I154" s="1">
        <v>7840</v>
      </c>
      <c r="J154" t="s">
        <v>27</v>
      </c>
      <c r="K154" t="s">
        <v>31</v>
      </c>
      <c r="L154" t="s">
        <v>25</v>
      </c>
    </row>
    <row r="155" spans="1:12" x14ac:dyDescent="0.3">
      <c r="A155" t="s">
        <v>201</v>
      </c>
      <c r="B155">
        <v>45764</v>
      </c>
      <c r="C155" t="s">
        <v>18</v>
      </c>
      <c r="D155">
        <v>3</v>
      </c>
      <c r="E155" s="1">
        <v>1800</v>
      </c>
      <c r="F155" s="2">
        <v>0.15</v>
      </c>
      <c r="G155" s="1">
        <v>4590</v>
      </c>
      <c r="H155" s="1">
        <v>3510</v>
      </c>
      <c r="I155" s="1">
        <v>1080</v>
      </c>
      <c r="J155" t="s">
        <v>14</v>
      </c>
      <c r="K155" t="s">
        <v>15</v>
      </c>
      <c r="L155" t="s">
        <v>25</v>
      </c>
    </row>
    <row r="156" spans="1:12" x14ac:dyDescent="0.3">
      <c r="A156" t="s">
        <v>202</v>
      </c>
      <c r="B156">
        <v>46034</v>
      </c>
      <c r="C156" t="s">
        <v>30</v>
      </c>
      <c r="D156">
        <v>4</v>
      </c>
      <c r="E156" s="1">
        <v>650</v>
      </c>
      <c r="F156" s="2">
        <v>0.15</v>
      </c>
      <c r="G156" s="1">
        <v>2210</v>
      </c>
      <c r="H156" s="1">
        <v>1690</v>
      </c>
      <c r="I156" s="1">
        <v>520</v>
      </c>
      <c r="J156" t="s">
        <v>19</v>
      </c>
      <c r="K156" t="s">
        <v>34</v>
      </c>
      <c r="L156" t="s">
        <v>21</v>
      </c>
    </row>
    <row r="157" spans="1:12" x14ac:dyDescent="0.3">
      <c r="A157" t="s">
        <v>203</v>
      </c>
      <c r="B157">
        <v>45842</v>
      </c>
      <c r="C157" t="s">
        <v>60</v>
      </c>
      <c r="D157">
        <v>6</v>
      </c>
      <c r="E157" s="1">
        <v>2200</v>
      </c>
      <c r="F157" s="2">
        <v>0.1</v>
      </c>
      <c r="G157" s="1">
        <v>11880</v>
      </c>
      <c r="H157" s="1">
        <v>8580</v>
      </c>
      <c r="I157" s="1">
        <v>3300</v>
      </c>
      <c r="J157" t="s">
        <v>19</v>
      </c>
      <c r="K157" t="s">
        <v>20</v>
      </c>
      <c r="L157" t="s">
        <v>21</v>
      </c>
    </row>
    <row r="158" spans="1:12" x14ac:dyDescent="0.3">
      <c r="A158" t="s">
        <v>204</v>
      </c>
      <c r="B158">
        <v>46068</v>
      </c>
      <c r="C158" t="s">
        <v>30</v>
      </c>
      <c r="D158">
        <v>1</v>
      </c>
      <c r="E158" s="1">
        <v>650</v>
      </c>
      <c r="F158" s="2">
        <v>0</v>
      </c>
      <c r="G158" s="1">
        <v>650</v>
      </c>
      <c r="H158" s="1">
        <v>422.5</v>
      </c>
      <c r="I158" s="1">
        <v>227.5</v>
      </c>
      <c r="J158" t="s">
        <v>14</v>
      </c>
      <c r="K158" t="s">
        <v>47</v>
      </c>
      <c r="L158" t="s">
        <v>25</v>
      </c>
    </row>
    <row r="159" spans="1:12" x14ac:dyDescent="0.3">
      <c r="A159" t="s">
        <v>205</v>
      </c>
      <c r="B159">
        <v>46122</v>
      </c>
      <c r="C159" t="s">
        <v>76</v>
      </c>
      <c r="D159">
        <v>6</v>
      </c>
      <c r="E159" s="1">
        <v>700</v>
      </c>
      <c r="F159" s="2">
        <v>0.1</v>
      </c>
      <c r="G159" s="1">
        <v>3780</v>
      </c>
      <c r="H159" s="1">
        <v>2730</v>
      </c>
      <c r="I159" s="1">
        <v>1050</v>
      </c>
      <c r="J159" t="s">
        <v>27</v>
      </c>
      <c r="K159" t="s">
        <v>49</v>
      </c>
      <c r="L159" t="s">
        <v>21</v>
      </c>
    </row>
    <row r="160" spans="1:12" x14ac:dyDescent="0.3">
      <c r="A160" t="s">
        <v>206</v>
      </c>
      <c r="B160">
        <v>45817</v>
      </c>
      <c r="C160" t="s">
        <v>88</v>
      </c>
      <c r="D160">
        <v>2</v>
      </c>
      <c r="E160" s="1">
        <v>1425</v>
      </c>
      <c r="F160" s="2">
        <v>0.1</v>
      </c>
      <c r="G160" s="1">
        <v>2565</v>
      </c>
      <c r="H160" s="1">
        <v>1852.5</v>
      </c>
      <c r="I160" s="1">
        <v>712.5</v>
      </c>
      <c r="J160" t="s">
        <v>23</v>
      </c>
      <c r="K160" t="s">
        <v>72</v>
      </c>
      <c r="L160" t="s">
        <v>25</v>
      </c>
    </row>
    <row r="161" spans="1:12" x14ac:dyDescent="0.3">
      <c r="A161" t="s">
        <v>207</v>
      </c>
      <c r="B161">
        <v>46110</v>
      </c>
      <c r="C161" t="s">
        <v>43</v>
      </c>
      <c r="D161">
        <v>4</v>
      </c>
      <c r="E161" s="1">
        <v>3200</v>
      </c>
      <c r="F161" s="2">
        <v>0.2</v>
      </c>
      <c r="G161" s="1">
        <v>10240</v>
      </c>
      <c r="H161" s="1">
        <v>8320</v>
      </c>
      <c r="I161" s="1">
        <v>1920</v>
      </c>
      <c r="J161" t="s">
        <v>19</v>
      </c>
      <c r="K161" t="s">
        <v>34</v>
      </c>
      <c r="L161" t="s">
        <v>25</v>
      </c>
    </row>
    <row r="162" spans="1:12" x14ac:dyDescent="0.3">
      <c r="A162" t="s">
        <v>208</v>
      </c>
      <c r="B162">
        <v>45771</v>
      </c>
      <c r="C162" t="s">
        <v>60</v>
      </c>
      <c r="D162">
        <v>5</v>
      </c>
      <c r="E162" s="1">
        <v>2310</v>
      </c>
      <c r="F162" s="2">
        <v>0</v>
      </c>
      <c r="G162" s="1">
        <v>11550</v>
      </c>
      <c r="H162" s="1">
        <v>7507.5</v>
      </c>
      <c r="I162" s="1">
        <v>4042.5</v>
      </c>
      <c r="J162" t="s">
        <v>14</v>
      </c>
      <c r="K162" t="s">
        <v>47</v>
      </c>
      <c r="L162" t="s">
        <v>16</v>
      </c>
    </row>
    <row r="163" spans="1:12" x14ac:dyDescent="0.3">
      <c r="A163" t="s">
        <v>209</v>
      </c>
      <c r="B163">
        <v>45714</v>
      </c>
      <c r="C163" t="s">
        <v>13</v>
      </c>
      <c r="D163">
        <v>5</v>
      </c>
      <c r="E163" s="1">
        <v>52000</v>
      </c>
      <c r="F163" s="2">
        <v>0.05</v>
      </c>
      <c r="G163" s="1">
        <v>247000</v>
      </c>
      <c r="H163" s="1">
        <v>169000</v>
      </c>
      <c r="I163" s="1">
        <v>78000</v>
      </c>
      <c r="J163" t="s">
        <v>14</v>
      </c>
      <c r="K163" t="s">
        <v>36</v>
      </c>
      <c r="L163" t="s">
        <v>25</v>
      </c>
    </row>
    <row r="164" spans="1:12" x14ac:dyDescent="0.3">
      <c r="A164" t="s">
        <v>210</v>
      </c>
      <c r="B164">
        <v>45993</v>
      </c>
      <c r="C164" t="s">
        <v>30</v>
      </c>
      <c r="D164">
        <v>8</v>
      </c>
      <c r="E164" s="1">
        <v>617.5</v>
      </c>
      <c r="F164" s="2">
        <v>0.15</v>
      </c>
      <c r="G164" s="1">
        <v>4199</v>
      </c>
      <c r="H164" s="1">
        <v>3211</v>
      </c>
      <c r="I164" s="1">
        <v>988</v>
      </c>
      <c r="J164" t="s">
        <v>14</v>
      </c>
      <c r="K164" t="s">
        <v>40</v>
      </c>
      <c r="L164" t="s">
        <v>25</v>
      </c>
    </row>
    <row r="165" spans="1:12" x14ac:dyDescent="0.3">
      <c r="A165" t="s">
        <v>211</v>
      </c>
      <c r="B165">
        <v>46203</v>
      </c>
      <c r="C165" t="s">
        <v>39</v>
      </c>
      <c r="D165">
        <v>2</v>
      </c>
      <c r="E165" s="1">
        <v>12500</v>
      </c>
      <c r="F165" s="2">
        <v>0.15</v>
      </c>
      <c r="G165" s="1">
        <v>21250</v>
      </c>
      <c r="H165" s="1">
        <v>16250</v>
      </c>
      <c r="I165" s="1">
        <v>5000</v>
      </c>
      <c r="J165" t="s">
        <v>19</v>
      </c>
      <c r="K165" t="s">
        <v>79</v>
      </c>
      <c r="L165" t="s">
        <v>21</v>
      </c>
    </row>
    <row r="166" spans="1:12" x14ac:dyDescent="0.3">
      <c r="A166" t="s">
        <v>212</v>
      </c>
      <c r="B166">
        <v>46128</v>
      </c>
      <c r="C166" t="s">
        <v>30</v>
      </c>
      <c r="D166">
        <v>7</v>
      </c>
      <c r="E166" s="1">
        <v>650</v>
      </c>
      <c r="F166" s="2">
        <v>0.2</v>
      </c>
      <c r="G166" s="1">
        <v>3640</v>
      </c>
      <c r="H166" s="1">
        <v>2957.5</v>
      </c>
      <c r="I166" s="1">
        <v>682.5</v>
      </c>
      <c r="J166" t="s">
        <v>23</v>
      </c>
      <c r="K166" t="s">
        <v>72</v>
      </c>
      <c r="L166" t="s">
        <v>25</v>
      </c>
    </row>
    <row r="167" spans="1:12" x14ac:dyDescent="0.3">
      <c r="A167" t="s">
        <v>213</v>
      </c>
      <c r="B167">
        <v>45775</v>
      </c>
      <c r="C167" t="s">
        <v>43</v>
      </c>
      <c r="D167">
        <v>6</v>
      </c>
      <c r="E167" s="1">
        <v>3040</v>
      </c>
      <c r="F167" s="2">
        <v>0.05</v>
      </c>
      <c r="G167" s="1">
        <v>17328</v>
      </c>
      <c r="H167" s="1">
        <v>11856</v>
      </c>
      <c r="I167" s="1">
        <v>5472</v>
      </c>
      <c r="J167" t="s">
        <v>23</v>
      </c>
      <c r="K167" t="s">
        <v>66</v>
      </c>
      <c r="L167" t="s">
        <v>21</v>
      </c>
    </row>
    <row r="168" spans="1:12" x14ac:dyDescent="0.3">
      <c r="A168" t="s">
        <v>214</v>
      </c>
      <c r="B168">
        <v>46105</v>
      </c>
      <c r="C168" t="s">
        <v>30</v>
      </c>
      <c r="D168">
        <v>7</v>
      </c>
      <c r="E168" s="1">
        <v>650</v>
      </c>
      <c r="F168" s="2">
        <v>0.2</v>
      </c>
      <c r="G168" s="1">
        <v>3640</v>
      </c>
      <c r="H168" s="1"/>
      <c r="I168" s="1">
        <v>682.5</v>
      </c>
      <c r="J168" t="s">
        <v>23</v>
      </c>
      <c r="K168" t="s">
        <v>61</v>
      </c>
      <c r="L168" t="s">
        <v>25</v>
      </c>
    </row>
    <row r="169" spans="1:12" x14ac:dyDescent="0.3">
      <c r="A169" t="s">
        <v>215</v>
      </c>
      <c r="B169">
        <v>45975</v>
      </c>
      <c r="C169" t="s">
        <v>76</v>
      </c>
      <c r="D169">
        <v>6</v>
      </c>
      <c r="E169" s="1">
        <v>700</v>
      </c>
      <c r="F169" s="2">
        <v>0.05</v>
      </c>
      <c r="G169" s="1">
        <v>3990</v>
      </c>
      <c r="H169" s="1">
        <v>2730</v>
      </c>
      <c r="I169" s="1">
        <v>1260</v>
      </c>
      <c r="J169" t="s">
        <v>19</v>
      </c>
      <c r="K169" t="s">
        <v>70</v>
      </c>
      <c r="L169" t="s">
        <v>16</v>
      </c>
    </row>
    <row r="170" spans="1:12" x14ac:dyDescent="0.3">
      <c r="A170" t="s">
        <v>216</v>
      </c>
      <c r="B170">
        <v>46180</v>
      </c>
      <c r="C170" t="s">
        <v>39</v>
      </c>
      <c r="D170">
        <v>6</v>
      </c>
      <c r="E170" s="1">
        <v>12500</v>
      </c>
      <c r="F170" s="2">
        <v>0.05</v>
      </c>
      <c r="G170" s="1">
        <v>71250</v>
      </c>
      <c r="H170" s="1">
        <v>48750</v>
      </c>
      <c r="I170" s="1">
        <v>22500</v>
      </c>
      <c r="J170" t="s">
        <v>14</v>
      </c>
      <c r="K170" t="s">
        <v>15</v>
      </c>
      <c r="L170" t="s">
        <v>21</v>
      </c>
    </row>
    <row r="171" spans="1:12" x14ac:dyDescent="0.3">
      <c r="A171" t="s">
        <v>217</v>
      </c>
      <c r="B171">
        <v>45920</v>
      </c>
      <c r="C171" t="s">
        <v>39</v>
      </c>
      <c r="D171">
        <v>3</v>
      </c>
      <c r="E171" s="1">
        <v>12500</v>
      </c>
      <c r="F171" s="2">
        <v>0</v>
      </c>
      <c r="G171" s="1">
        <v>37500</v>
      </c>
      <c r="H171" s="1">
        <v>24375</v>
      </c>
      <c r="I171" s="1">
        <v>13125</v>
      </c>
      <c r="J171" t="s">
        <v>14</v>
      </c>
      <c r="K171" t="s">
        <v>47</v>
      </c>
      <c r="L171" t="s">
        <v>25</v>
      </c>
    </row>
    <row r="172" spans="1:12" x14ac:dyDescent="0.3">
      <c r="A172" t="s">
        <v>218</v>
      </c>
      <c r="B172">
        <v>46117</v>
      </c>
      <c r="C172" t="s">
        <v>18</v>
      </c>
      <c r="D172">
        <v>6</v>
      </c>
      <c r="E172" s="1">
        <v>1800</v>
      </c>
      <c r="F172" s="2">
        <v>0.05</v>
      </c>
      <c r="G172" s="1">
        <v>10260</v>
      </c>
      <c r="H172" s="1">
        <v>7020</v>
      </c>
      <c r="I172" s="1">
        <v>3240</v>
      </c>
      <c r="J172" t="s">
        <v>23</v>
      </c>
      <c r="K172" t="s">
        <v>61</v>
      </c>
      <c r="L172" t="s">
        <v>25</v>
      </c>
    </row>
    <row r="173" spans="1:12" x14ac:dyDescent="0.3">
      <c r="A173" t="s">
        <v>219</v>
      </c>
      <c r="B173">
        <v>46110</v>
      </c>
      <c r="C173" t="s">
        <v>60</v>
      </c>
      <c r="D173">
        <v>1</v>
      </c>
      <c r="E173" s="1">
        <v>2200</v>
      </c>
      <c r="F173" s="2">
        <v>0.1</v>
      </c>
      <c r="G173" s="1">
        <v>1980</v>
      </c>
      <c r="H173" s="1">
        <v>1430</v>
      </c>
      <c r="I173" s="1">
        <v>550</v>
      </c>
      <c r="J173" t="s">
        <v>19</v>
      </c>
      <c r="K173" t="s">
        <v>34</v>
      </c>
      <c r="L173" t="s">
        <v>25</v>
      </c>
    </row>
    <row r="174" spans="1:12" x14ac:dyDescent="0.3">
      <c r="A174" t="s">
        <v>220</v>
      </c>
      <c r="B174">
        <v>46120</v>
      </c>
      <c r="C174" t="s">
        <v>13</v>
      </c>
      <c r="D174">
        <v>6</v>
      </c>
      <c r="E174" s="1">
        <v>49400</v>
      </c>
      <c r="F174" s="2">
        <v>0.1</v>
      </c>
      <c r="G174" s="1">
        <v>266760</v>
      </c>
      <c r="H174" s="1">
        <v>192660</v>
      </c>
      <c r="I174" s="1">
        <v>74100</v>
      </c>
      <c r="J174" t="s">
        <v>19</v>
      </c>
      <c r="K174" t="s">
        <v>70</v>
      </c>
      <c r="L174" t="s">
        <v>16</v>
      </c>
    </row>
    <row r="175" spans="1:12" x14ac:dyDescent="0.3">
      <c r="A175" t="s">
        <v>221</v>
      </c>
      <c r="B175">
        <v>46177</v>
      </c>
      <c r="C175" t="s">
        <v>43</v>
      </c>
      <c r="D175">
        <v>1</v>
      </c>
      <c r="E175" s="1">
        <v>3360</v>
      </c>
      <c r="F175" s="2">
        <v>0.15</v>
      </c>
      <c r="G175" s="1">
        <v>2856</v>
      </c>
      <c r="H175" s="1">
        <v>2184</v>
      </c>
      <c r="I175" s="1">
        <v>672</v>
      </c>
      <c r="J175" t="s">
        <v>14</v>
      </c>
      <c r="K175" t="s">
        <v>36</v>
      </c>
      <c r="L175" t="s">
        <v>16</v>
      </c>
    </row>
    <row r="176" spans="1:12" x14ac:dyDescent="0.3">
      <c r="A176" t="s">
        <v>222</v>
      </c>
      <c r="B176">
        <v>46145</v>
      </c>
      <c r="C176" t="s">
        <v>51</v>
      </c>
      <c r="D176">
        <v>1</v>
      </c>
      <c r="E176" s="1">
        <v>2600</v>
      </c>
      <c r="F176" s="2">
        <v>0.15</v>
      </c>
      <c r="G176" s="1">
        <v>2210</v>
      </c>
      <c r="H176" s="1">
        <v>1690</v>
      </c>
      <c r="I176" s="1">
        <v>520</v>
      </c>
      <c r="J176" t="s">
        <v>19</v>
      </c>
      <c r="K176" t="s">
        <v>34</v>
      </c>
      <c r="L176" t="s">
        <v>16</v>
      </c>
    </row>
    <row r="177" spans="1:12" x14ac:dyDescent="0.3">
      <c r="A177" t="s">
        <v>223</v>
      </c>
      <c r="B177">
        <v>45744</v>
      </c>
      <c r="C177" t="s">
        <v>51</v>
      </c>
      <c r="D177">
        <v>1</v>
      </c>
      <c r="E177" s="1">
        <v>2600</v>
      </c>
      <c r="F177" s="2">
        <v>0.05</v>
      </c>
      <c r="G177" s="1">
        <v>2470</v>
      </c>
      <c r="H177" s="1">
        <v>1690</v>
      </c>
      <c r="I177" s="1">
        <v>780</v>
      </c>
      <c r="J177" t="s">
        <v>23</v>
      </c>
      <c r="K177" t="s">
        <v>72</v>
      </c>
      <c r="L177" t="s">
        <v>16</v>
      </c>
    </row>
    <row r="178" spans="1:12" x14ac:dyDescent="0.3">
      <c r="A178" t="s">
        <v>224</v>
      </c>
      <c r="B178">
        <v>46193</v>
      </c>
      <c r="C178" t="s">
        <v>18</v>
      </c>
      <c r="D178">
        <v>6</v>
      </c>
      <c r="E178" s="1">
        <v>1800</v>
      </c>
      <c r="F178" s="2">
        <v>0.1</v>
      </c>
      <c r="G178" s="1">
        <v>9720</v>
      </c>
      <c r="H178" s="1">
        <v>7020</v>
      </c>
      <c r="I178" s="1">
        <v>2700</v>
      </c>
      <c r="J178" t="s">
        <v>27</v>
      </c>
      <c r="K178" t="s">
        <v>52</v>
      </c>
      <c r="L178" t="s">
        <v>25</v>
      </c>
    </row>
    <row r="179" spans="1:12" x14ac:dyDescent="0.3">
      <c r="A179" t="s">
        <v>225</v>
      </c>
      <c r="B179">
        <v>46004</v>
      </c>
      <c r="C179" t="s">
        <v>18</v>
      </c>
      <c r="D179">
        <v>6</v>
      </c>
      <c r="E179" s="1">
        <v>1710</v>
      </c>
      <c r="F179" s="2">
        <v>0</v>
      </c>
      <c r="G179" s="1"/>
      <c r="H179" s="1">
        <v>6669</v>
      </c>
      <c r="I179" s="1">
        <v>3591</v>
      </c>
      <c r="J179" t="s">
        <v>27</v>
      </c>
      <c r="K179" t="s">
        <v>49</v>
      </c>
      <c r="L179" t="s">
        <v>16</v>
      </c>
    </row>
    <row r="180" spans="1:12" x14ac:dyDescent="0.3">
      <c r="A180" t="s">
        <v>226</v>
      </c>
      <c r="B180">
        <v>46053</v>
      </c>
      <c r="C180" t="s">
        <v>60</v>
      </c>
      <c r="D180">
        <v>3</v>
      </c>
      <c r="E180" s="1">
        <v>2200</v>
      </c>
      <c r="F180" s="2">
        <v>0.1</v>
      </c>
      <c r="G180" s="1">
        <v>5940</v>
      </c>
      <c r="H180" s="1">
        <v>4290</v>
      </c>
      <c r="I180" s="1">
        <v>1650</v>
      </c>
      <c r="J180" t="s">
        <v>19</v>
      </c>
      <c r="K180" t="s">
        <v>20</v>
      </c>
      <c r="L180" t="s">
        <v>25</v>
      </c>
    </row>
    <row r="181" spans="1:12" x14ac:dyDescent="0.3">
      <c r="A181" t="s">
        <v>227</v>
      </c>
      <c r="B181">
        <v>45975</v>
      </c>
      <c r="C181" t="s">
        <v>43</v>
      </c>
      <c r="D181">
        <v>2</v>
      </c>
      <c r="E181" s="1">
        <v>3200</v>
      </c>
      <c r="F181" s="2">
        <v>0.1</v>
      </c>
      <c r="G181" s="1">
        <v>5760</v>
      </c>
      <c r="H181" s="1">
        <v>4160</v>
      </c>
      <c r="I181" s="1">
        <v>1600</v>
      </c>
      <c r="J181" t="s">
        <v>23</v>
      </c>
      <c r="K181" t="s">
        <v>66</v>
      </c>
      <c r="L181" t="s">
        <v>21</v>
      </c>
    </row>
    <row r="182" spans="1:12" x14ac:dyDescent="0.3">
      <c r="A182" t="s">
        <v>228</v>
      </c>
      <c r="B182">
        <v>46197</v>
      </c>
      <c r="C182" t="s">
        <v>30</v>
      </c>
      <c r="D182">
        <v>6</v>
      </c>
      <c r="E182" s="1">
        <v>682.5</v>
      </c>
      <c r="F182" s="2">
        <v>0</v>
      </c>
      <c r="G182" s="1">
        <v>4095</v>
      </c>
      <c r="H182" s="1">
        <v>2661.75</v>
      </c>
      <c r="I182" s="1">
        <v>1433.25</v>
      </c>
      <c r="J182" t="s">
        <v>27</v>
      </c>
      <c r="K182" t="s">
        <v>31</v>
      </c>
      <c r="L182" t="s">
        <v>21</v>
      </c>
    </row>
    <row r="183" spans="1:12" x14ac:dyDescent="0.3">
      <c r="A183" t="s">
        <v>229</v>
      </c>
      <c r="B183">
        <v>45877</v>
      </c>
      <c r="C183" t="s">
        <v>76</v>
      </c>
      <c r="D183">
        <v>4</v>
      </c>
      <c r="E183" s="1">
        <v>735</v>
      </c>
      <c r="F183" s="2">
        <v>0.05</v>
      </c>
      <c r="G183" s="1">
        <v>2793</v>
      </c>
      <c r="H183" s="1">
        <v>1911</v>
      </c>
      <c r="I183" s="1">
        <v>882</v>
      </c>
      <c r="J183" t="s">
        <v>14</v>
      </c>
      <c r="K183" t="s">
        <v>40</v>
      </c>
      <c r="L183" t="s">
        <v>21</v>
      </c>
    </row>
    <row r="184" spans="1:12" x14ac:dyDescent="0.3">
      <c r="A184" t="s">
        <v>230</v>
      </c>
      <c r="B184">
        <v>45960</v>
      </c>
      <c r="C184" t="s">
        <v>30</v>
      </c>
      <c r="D184">
        <v>6</v>
      </c>
      <c r="E184" s="1">
        <v>617.5</v>
      </c>
      <c r="F184" s="2">
        <v>0.2</v>
      </c>
      <c r="G184" s="1">
        <v>2964</v>
      </c>
      <c r="H184" s="1">
        <v>2408.25</v>
      </c>
      <c r="I184" s="1">
        <v>555.75</v>
      </c>
      <c r="J184" t="s">
        <v>14</v>
      </c>
      <c r="K184" t="s">
        <v>47</v>
      </c>
      <c r="L184" t="s">
        <v>21</v>
      </c>
    </row>
    <row r="185" spans="1:12" x14ac:dyDescent="0.3">
      <c r="A185" t="s">
        <v>231</v>
      </c>
      <c r="B185">
        <v>45824</v>
      </c>
      <c r="C185" t="s">
        <v>88</v>
      </c>
      <c r="D185">
        <v>8</v>
      </c>
      <c r="E185" s="1">
        <v>1500</v>
      </c>
      <c r="F185" s="2">
        <v>0</v>
      </c>
      <c r="G185" s="1">
        <v>12000</v>
      </c>
      <c r="H185" s="1">
        <v>7800</v>
      </c>
      <c r="I185" s="1">
        <v>4200</v>
      </c>
      <c r="J185" t="s">
        <v>23</v>
      </c>
      <c r="K185" t="s">
        <v>66</v>
      </c>
      <c r="L185" t="s">
        <v>16</v>
      </c>
    </row>
    <row r="186" spans="1:12" x14ac:dyDescent="0.3">
      <c r="A186" t="s">
        <v>232</v>
      </c>
      <c r="B186">
        <v>45901</v>
      </c>
      <c r="C186" t="s">
        <v>56</v>
      </c>
      <c r="D186">
        <v>8</v>
      </c>
      <c r="E186" s="1">
        <v>9800</v>
      </c>
      <c r="F186" s="2">
        <v>0.05</v>
      </c>
      <c r="G186" s="1">
        <v>74480</v>
      </c>
      <c r="H186" s="1">
        <v>50960</v>
      </c>
      <c r="I186" s="1">
        <v>23520</v>
      </c>
      <c r="J186" t="s">
        <v>14</v>
      </c>
      <c r="K186" t="s">
        <v>36</v>
      </c>
      <c r="L186" t="s">
        <v>25</v>
      </c>
    </row>
    <row r="187" spans="1:12" x14ac:dyDescent="0.3">
      <c r="A187" t="s">
        <v>233</v>
      </c>
      <c r="B187">
        <v>45856</v>
      </c>
      <c r="C187" t="s">
        <v>76</v>
      </c>
      <c r="D187">
        <v>8</v>
      </c>
      <c r="E187" s="1">
        <v>735</v>
      </c>
      <c r="F187" s="2">
        <v>0.1</v>
      </c>
      <c r="G187" s="1">
        <v>5292</v>
      </c>
      <c r="H187" s="1">
        <v>3822</v>
      </c>
      <c r="I187" s="1">
        <v>1470</v>
      </c>
      <c r="J187" t="s">
        <v>23</v>
      </c>
      <c r="K187" t="s">
        <v>72</v>
      </c>
      <c r="L187" t="s">
        <v>21</v>
      </c>
    </row>
    <row r="188" spans="1:12" x14ac:dyDescent="0.3">
      <c r="A188" t="s">
        <v>234</v>
      </c>
      <c r="B188">
        <v>45862</v>
      </c>
      <c r="C188" t="s">
        <v>18</v>
      </c>
      <c r="D188">
        <v>5</v>
      </c>
      <c r="E188" s="1">
        <v>1800</v>
      </c>
      <c r="F188" s="2">
        <v>0</v>
      </c>
      <c r="G188" s="1">
        <v>9000</v>
      </c>
      <c r="H188" s="1">
        <v>5850</v>
      </c>
      <c r="I188" s="1">
        <v>3150</v>
      </c>
      <c r="J188" t="s">
        <v>23</v>
      </c>
      <c r="K188" t="s">
        <v>66</v>
      </c>
      <c r="L188" t="s">
        <v>16</v>
      </c>
    </row>
    <row r="189" spans="1:12" x14ac:dyDescent="0.3">
      <c r="A189" t="s">
        <v>235</v>
      </c>
      <c r="B189">
        <v>45763</v>
      </c>
      <c r="C189" t="s">
        <v>51</v>
      </c>
      <c r="D189">
        <v>5</v>
      </c>
      <c r="E189" s="1">
        <v>2470</v>
      </c>
      <c r="F189" s="2">
        <v>0</v>
      </c>
      <c r="G189" s="1">
        <v>12350</v>
      </c>
      <c r="H189" s="1">
        <v>8027.5</v>
      </c>
      <c r="I189" s="1">
        <v>4322.5</v>
      </c>
      <c r="J189" t="s">
        <v>14</v>
      </c>
      <c r="K189" t="s">
        <v>36</v>
      </c>
      <c r="L189" t="s">
        <v>25</v>
      </c>
    </row>
    <row r="190" spans="1:12" x14ac:dyDescent="0.3">
      <c r="A190" t="s">
        <v>236</v>
      </c>
      <c r="B190">
        <v>46183</v>
      </c>
      <c r="C190" t="s">
        <v>88</v>
      </c>
      <c r="D190">
        <v>2</v>
      </c>
      <c r="E190" s="1">
        <v>1575</v>
      </c>
      <c r="F190" s="2">
        <v>0.05</v>
      </c>
      <c r="G190" s="1">
        <v>2992.5</v>
      </c>
      <c r="H190" s="1">
        <v>2047.5</v>
      </c>
      <c r="I190" s="1">
        <v>945</v>
      </c>
      <c r="J190" t="s">
        <v>23</v>
      </c>
      <c r="K190" t="s">
        <v>66</v>
      </c>
      <c r="L190" t="s">
        <v>21</v>
      </c>
    </row>
    <row r="191" spans="1:12" x14ac:dyDescent="0.3">
      <c r="A191" t="s">
        <v>237</v>
      </c>
      <c r="B191">
        <v>46082</v>
      </c>
      <c r="C191" t="s">
        <v>13</v>
      </c>
      <c r="D191">
        <v>6</v>
      </c>
      <c r="E191" s="1">
        <v>54600</v>
      </c>
      <c r="F191" s="2">
        <v>0.05</v>
      </c>
      <c r="G191" s="1">
        <v>311220</v>
      </c>
      <c r="H191" s="1">
        <v>212940</v>
      </c>
      <c r="I191" s="1">
        <v>98280</v>
      </c>
      <c r="J191" t="s">
        <v>23</v>
      </c>
      <c r="K191" t="s">
        <v>61</v>
      </c>
      <c r="L191" t="s">
        <v>25</v>
      </c>
    </row>
    <row r="192" spans="1:12" x14ac:dyDescent="0.3">
      <c r="A192" t="s">
        <v>238</v>
      </c>
      <c r="B192">
        <v>45887</v>
      </c>
      <c r="C192" t="s">
        <v>13</v>
      </c>
      <c r="D192">
        <v>2</v>
      </c>
      <c r="E192" s="1">
        <v>52000</v>
      </c>
      <c r="F192" s="2">
        <v>0.1</v>
      </c>
      <c r="G192" s="1">
        <v>93600</v>
      </c>
      <c r="H192" s="1">
        <v>67600</v>
      </c>
      <c r="I192" s="1">
        <v>26000</v>
      </c>
      <c r="J192" t="s">
        <v>14</v>
      </c>
      <c r="K192" t="s">
        <v>40</v>
      </c>
      <c r="L192" t="s">
        <v>21</v>
      </c>
    </row>
    <row r="193" spans="1:12" x14ac:dyDescent="0.3">
      <c r="A193" t="s">
        <v>239</v>
      </c>
      <c r="B193">
        <v>45951</v>
      </c>
      <c r="C193" t="s">
        <v>56</v>
      </c>
      <c r="D193">
        <v>8</v>
      </c>
      <c r="E193" s="1">
        <v>9800</v>
      </c>
      <c r="F193" s="2">
        <v>0.15</v>
      </c>
      <c r="G193" s="1">
        <v>66640</v>
      </c>
      <c r="H193" s="1">
        <v>50960</v>
      </c>
      <c r="I193" s="1">
        <v>15680</v>
      </c>
      <c r="J193" t="s">
        <v>19</v>
      </c>
      <c r="K193" t="s">
        <v>70</v>
      </c>
      <c r="L193" t="s">
        <v>21</v>
      </c>
    </row>
    <row r="194" spans="1:12" x14ac:dyDescent="0.3">
      <c r="A194" t="s">
        <v>240</v>
      </c>
      <c r="B194">
        <v>45920</v>
      </c>
      <c r="C194" t="s">
        <v>39</v>
      </c>
      <c r="D194">
        <v>7</v>
      </c>
      <c r="E194" s="1">
        <v>12500</v>
      </c>
      <c r="F194" s="2">
        <v>0</v>
      </c>
      <c r="G194" s="1">
        <v>87500</v>
      </c>
      <c r="H194" s="1">
        <v>56875</v>
      </c>
      <c r="I194" s="1">
        <v>30625</v>
      </c>
      <c r="J194" t="s">
        <v>27</v>
      </c>
      <c r="K194" t="s">
        <v>28</v>
      </c>
      <c r="L194" t="s">
        <v>25</v>
      </c>
    </row>
    <row r="195" spans="1:12" x14ac:dyDescent="0.3">
      <c r="A195" t="s">
        <v>241</v>
      </c>
      <c r="B195">
        <v>45782</v>
      </c>
      <c r="C195" t="s">
        <v>13</v>
      </c>
      <c r="D195">
        <v>7</v>
      </c>
      <c r="E195" s="1">
        <v>52000</v>
      </c>
      <c r="F195" s="2">
        <v>0.2</v>
      </c>
      <c r="G195" s="1">
        <v>291200</v>
      </c>
      <c r="H195" s="1">
        <v>236600</v>
      </c>
      <c r="I195" s="1">
        <v>54600</v>
      </c>
      <c r="J195" t="s">
        <v>23</v>
      </c>
      <c r="K195" t="s">
        <v>61</v>
      </c>
      <c r="L195" t="s">
        <v>21</v>
      </c>
    </row>
    <row r="196" spans="1:12" x14ac:dyDescent="0.3">
      <c r="A196" t="s">
        <v>242</v>
      </c>
      <c r="B196">
        <v>46169</v>
      </c>
      <c r="C196" t="s">
        <v>18</v>
      </c>
      <c r="D196">
        <v>4</v>
      </c>
      <c r="E196" s="1">
        <v>1710</v>
      </c>
      <c r="F196" s="2">
        <v>0.05</v>
      </c>
      <c r="G196" s="1">
        <v>6498</v>
      </c>
      <c r="H196" s="1">
        <v>4446</v>
      </c>
      <c r="I196" s="1">
        <v>2052</v>
      </c>
      <c r="J196" t="s">
        <v>27</v>
      </c>
      <c r="K196" t="s">
        <v>52</v>
      </c>
      <c r="L196" t="s">
        <v>21</v>
      </c>
    </row>
    <row r="197" spans="1:12" x14ac:dyDescent="0.3">
      <c r="A197" t="s">
        <v>243</v>
      </c>
      <c r="B197">
        <v>46019</v>
      </c>
      <c r="C197" t="s">
        <v>39</v>
      </c>
      <c r="D197">
        <v>3</v>
      </c>
      <c r="E197" s="1">
        <v>13125</v>
      </c>
      <c r="F197" s="2">
        <v>0</v>
      </c>
      <c r="G197" s="1">
        <v>39375</v>
      </c>
      <c r="H197" s="1">
        <v>25593.75</v>
      </c>
      <c r="I197" s="1">
        <v>13781.25</v>
      </c>
      <c r="J197" t="s">
        <v>27</v>
      </c>
      <c r="K197" t="s">
        <v>49</v>
      </c>
      <c r="L197" t="s">
        <v>16</v>
      </c>
    </row>
    <row r="198" spans="1:12" x14ac:dyDescent="0.3">
      <c r="A198" t="s">
        <v>244</v>
      </c>
      <c r="B198">
        <v>46177</v>
      </c>
      <c r="C198" t="s">
        <v>51</v>
      </c>
      <c r="D198">
        <v>7</v>
      </c>
      <c r="E198" s="1">
        <v>2470</v>
      </c>
      <c r="F198" s="2">
        <v>0.15</v>
      </c>
      <c r="G198" s="1">
        <v>14696.5</v>
      </c>
      <c r="H198" s="1">
        <v>11238.5</v>
      </c>
      <c r="I198" s="1">
        <v>3458</v>
      </c>
      <c r="J198" t="s">
        <v>19</v>
      </c>
      <c r="K198" t="s">
        <v>79</v>
      </c>
      <c r="L198" t="s">
        <v>25</v>
      </c>
    </row>
    <row r="199" spans="1:12" x14ac:dyDescent="0.3">
      <c r="A199" t="s">
        <v>245</v>
      </c>
      <c r="B199">
        <v>45917</v>
      </c>
      <c r="C199" t="s">
        <v>13</v>
      </c>
      <c r="D199">
        <v>2</v>
      </c>
      <c r="E199" s="1">
        <v>52000</v>
      </c>
      <c r="F199" s="2">
        <v>0.1</v>
      </c>
      <c r="G199" s="1">
        <v>93600</v>
      </c>
      <c r="H199" s="1">
        <v>67600</v>
      </c>
      <c r="I199" s="1">
        <v>26000</v>
      </c>
      <c r="J199" t="s">
        <v>14</v>
      </c>
      <c r="K199" t="s">
        <v>15</v>
      </c>
      <c r="L199" t="s">
        <v>16</v>
      </c>
    </row>
    <row r="200" spans="1:12" x14ac:dyDescent="0.3">
      <c r="A200" t="s">
        <v>246</v>
      </c>
      <c r="B200">
        <v>45998</v>
      </c>
      <c r="C200" t="s">
        <v>88</v>
      </c>
      <c r="D200">
        <v>6</v>
      </c>
      <c r="E200" s="1">
        <v>1425</v>
      </c>
      <c r="F200" s="2">
        <v>0.2</v>
      </c>
      <c r="G200" s="1">
        <v>6840</v>
      </c>
      <c r="H200" s="1">
        <v>5557.5</v>
      </c>
      <c r="I200" s="1">
        <v>1282.5</v>
      </c>
      <c r="J200" t="s">
        <v>27</v>
      </c>
      <c r="K200" t="s">
        <v>28</v>
      </c>
      <c r="L200" t="s">
        <v>16</v>
      </c>
    </row>
    <row r="201" spans="1:12" x14ac:dyDescent="0.3">
      <c r="A201" t="s">
        <v>247</v>
      </c>
      <c r="B201">
        <v>46133</v>
      </c>
      <c r="C201" t="s">
        <v>684</v>
      </c>
      <c r="D201">
        <v>3</v>
      </c>
      <c r="E201" s="1">
        <v>9800</v>
      </c>
      <c r="F201" s="2">
        <v>0</v>
      </c>
      <c r="G201" s="1">
        <v>29400</v>
      </c>
      <c r="H201" s="1">
        <v>19110</v>
      </c>
      <c r="I201" s="1">
        <v>10290</v>
      </c>
      <c r="J201" t="s">
        <v>23</v>
      </c>
      <c r="K201" t="s">
        <v>61</v>
      </c>
      <c r="L201" t="s">
        <v>25</v>
      </c>
    </row>
    <row r="202" spans="1:12" x14ac:dyDescent="0.3">
      <c r="A202" t="s">
        <v>248</v>
      </c>
      <c r="B202">
        <v>45864</v>
      </c>
      <c r="C202" t="s">
        <v>13</v>
      </c>
      <c r="D202">
        <v>1</v>
      </c>
      <c r="E202" s="1">
        <v>52000</v>
      </c>
      <c r="F202" s="2">
        <v>0.1</v>
      </c>
      <c r="G202" s="1">
        <v>46800</v>
      </c>
      <c r="H202" s="1">
        <v>33800</v>
      </c>
      <c r="I202" s="1">
        <v>13000</v>
      </c>
      <c r="J202" t="s">
        <v>27</v>
      </c>
      <c r="K202" t="s">
        <v>52</v>
      </c>
      <c r="L202" t="s">
        <v>16</v>
      </c>
    </row>
    <row r="203" spans="1:12" x14ac:dyDescent="0.3">
      <c r="A203" t="s">
        <v>249</v>
      </c>
      <c r="B203">
        <v>46142</v>
      </c>
      <c r="C203" t="s">
        <v>60</v>
      </c>
      <c r="D203">
        <v>4</v>
      </c>
      <c r="E203" s="1">
        <v>2090</v>
      </c>
      <c r="F203" s="2">
        <v>0.1</v>
      </c>
      <c r="G203" s="1">
        <v>7524</v>
      </c>
      <c r="H203" s="1">
        <v>5434</v>
      </c>
      <c r="I203" s="1">
        <v>2090</v>
      </c>
      <c r="J203" t="s">
        <v>27</v>
      </c>
      <c r="K203" t="s">
        <v>49</v>
      </c>
      <c r="L203" t="s">
        <v>16</v>
      </c>
    </row>
    <row r="204" spans="1:12" x14ac:dyDescent="0.3">
      <c r="A204" t="s">
        <v>250</v>
      </c>
      <c r="B204">
        <v>45997</v>
      </c>
      <c r="C204" t="s">
        <v>60</v>
      </c>
      <c r="D204">
        <v>6</v>
      </c>
      <c r="E204" s="1">
        <v>2090</v>
      </c>
      <c r="F204" s="2">
        <v>0.15</v>
      </c>
      <c r="G204" s="1">
        <v>10659</v>
      </c>
      <c r="H204" s="1">
        <v>8151</v>
      </c>
      <c r="I204" s="1">
        <v>2508</v>
      </c>
      <c r="J204" t="s">
        <v>23</v>
      </c>
      <c r="K204" t="s">
        <v>72</v>
      </c>
      <c r="L204" t="s">
        <v>25</v>
      </c>
    </row>
    <row r="205" spans="1:12" x14ac:dyDescent="0.3">
      <c r="A205" t="s">
        <v>251</v>
      </c>
      <c r="B205">
        <v>46005</v>
      </c>
      <c r="C205" t="s">
        <v>88</v>
      </c>
      <c r="D205">
        <v>8</v>
      </c>
      <c r="E205" s="1">
        <v>1575</v>
      </c>
      <c r="F205" s="2">
        <v>0.1</v>
      </c>
      <c r="G205" s="1">
        <v>11340</v>
      </c>
      <c r="H205" s="1">
        <v>8190</v>
      </c>
      <c r="I205" s="1">
        <v>3150</v>
      </c>
      <c r="J205" t="s">
        <v>27</v>
      </c>
      <c r="K205" t="s">
        <v>49</v>
      </c>
      <c r="L205" t="s">
        <v>16</v>
      </c>
    </row>
    <row r="206" spans="1:12" x14ac:dyDescent="0.3">
      <c r="A206" t="s">
        <v>252</v>
      </c>
      <c r="B206">
        <v>46092</v>
      </c>
      <c r="C206" t="s">
        <v>30</v>
      </c>
      <c r="D206">
        <v>3</v>
      </c>
      <c r="E206" s="1">
        <v>682.5</v>
      </c>
      <c r="F206" s="2">
        <v>0.2</v>
      </c>
      <c r="G206" s="1">
        <v>1638</v>
      </c>
      <c r="H206" s="1">
        <v>1330.88</v>
      </c>
      <c r="I206" s="1">
        <v>307.12</v>
      </c>
      <c r="J206" t="s">
        <v>27</v>
      </c>
      <c r="K206" t="s">
        <v>31</v>
      </c>
      <c r="L206" t="s">
        <v>21</v>
      </c>
    </row>
    <row r="207" spans="1:12" x14ac:dyDescent="0.3">
      <c r="A207" t="s">
        <v>253</v>
      </c>
      <c r="B207">
        <v>45739</v>
      </c>
      <c r="C207" t="s">
        <v>76</v>
      </c>
      <c r="D207">
        <v>5</v>
      </c>
      <c r="E207" s="1">
        <v>700</v>
      </c>
      <c r="F207" s="2">
        <v>0.15</v>
      </c>
      <c r="G207" s="1">
        <v>2975</v>
      </c>
      <c r="H207" s="1">
        <v>2275</v>
      </c>
      <c r="I207" s="1">
        <v>700</v>
      </c>
      <c r="J207" t="s">
        <v>23</v>
      </c>
      <c r="K207" t="s">
        <v>24</v>
      </c>
      <c r="L207" t="s">
        <v>16</v>
      </c>
    </row>
    <row r="208" spans="1:12" x14ac:dyDescent="0.3">
      <c r="A208" t="s">
        <v>254</v>
      </c>
      <c r="B208">
        <v>46112</v>
      </c>
      <c r="C208" t="s">
        <v>76</v>
      </c>
      <c r="D208">
        <v>1</v>
      </c>
      <c r="E208" s="1">
        <v>735</v>
      </c>
      <c r="F208" s="2">
        <v>0.1</v>
      </c>
      <c r="G208" s="1">
        <v>661.5</v>
      </c>
      <c r="H208" s="1">
        <v>477.75</v>
      </c>
      <c r="I208" s="1">
        <v>183.75</v>
      </c>
      <c r="J208" t="s">
        <v>23</v>
      </c>
      <c r="K208" t="s">
        <v>66</v>
      </c>
      <c r="L208" t="s">
        <v>16</v>
      </c>
    </row>
    <row r="209" spans="1:12" x14ac:dyDescent="0.3">
      <c r="A209" t="s">
        <v>255</v>
      </c>
      <c r="B209">
        <v>45716</v>
      </c>
      <c r="C209" t="s">
        <v>30</v>
      </c>
      <c r="D209">
        <v>6</v>
      </c>
      <c r="E209" s="1">
        <v>682.5</v>
      </c>
      <c r="F209" s="2">
        <v>0.2</v>
      </c>
      <c r="G209" s="1">
        <v>3276</v>
      </c>
      <c r="H209" s="1">
        <v>2661.75</v>
      </c>
      <c r="I209" s="1">
        <v>614.25</v>
      </c>
      <c r="J209" t="s">
        <v>14</v>
      </c>
      <c r="K209" t="s">
        <v>15</v>
      </c>
      <c r="L209" t="s">
        <v>21</v>
      </c>
    </row>
    <row r="210" spans="1:12" x14ac:dyDescent="0.3">
      <c r="A210" t="s">
        <v>256</v>
      </c>
      <c r="B210">
        <v>46106</v>
      </c>
      <c r="C210" t="s">
        <v>13</v>
      </c>
      <c r="D210">
        <v>2</v>
      </c>
      <c r="E210" s="1">
        <v>52000</v>
      </c>
      <c r="F210" s="2">
        <v>0.05</v>
      </c>
      <c r="G210" s="1">
        <v>98800</v>
      </c>
      <c r="H210" s="1">
        <v>67600</v>
      </c>
      <c r="I210" s="1">
        <v>31200</v>
      </c>
      <c r="J210" t="s">
        <v>27</v>
      </c>
      <c r="K210" t="s">
        <v>31</v>
      </c>
      <c r="L210" t="s">
        <v>25</v>
      </c>
    </row>
    <row r="211" spans="1:12" x14ac:dyDescent="0.3">
      <c r="A211" t="s">
        <v>257</v>
      </c>
      <c r="B211">
        <v>45691</v>
      </c>
      <c r="C211" t="s">
        <v>18</v>
      </c>
      <c r="D211">
        <v>8</v>
      </c>
      <c r="E211" s="1">
        <v>1800</v>
      </c>
      <c r="F211" s="2">
        <v>0.1</v>
      </c>
      <c r="G211" s="1">
        <v>12960</v>
      </c>
      <c r="H211" s="1">
        <v>9360</v>
      </c>
      <c r="I211" s="1">
        <v>3600</v>
      </c>
      <c r="J211" t="s">
        <v>27</v>
      </c>
      <c r="K211" t="s">
        <v>52</v>
      </c>
      <c r="L211" t="s">
        <v>21</v>
      </c>
    </row>
    <row r="212" spans="1:12" x14ac:dyDescent="0.3">
      <c r="A212" t="s">
        <v>258</v>
      </c>
      <c r="B212">
        <v>45798</v>
      </c>
      <c r="C212" t="s">
        <v>51</v>
      </c>
      <c r="D212">
        <v>7</v>
      </c>
      <c r="E212" s="1">
        <v>2600</v>
      </c>
      <c r="F212" s="2">
        <v>0.1</v>
      </c>
      <c r="G212" s="1">
        <v>16380</v>
      </c>
      <c r="H212" s="1">
        <v>11830</v>
      </c>
      <c r="I212" s="1">
        <v>4550</v>
      </c>
      <c r="J212" t="s">
        <v>27</v>
      </c>
      <c r="K212" t="s">
        <v>28</v>
      </c>
      <c r="L212" t="s">
        <v>21</v>
      </c>
    </row>
    <row r="213" spans="1:12" x14ac:dyDescent="0.3">
      <c r="A213" t="s">
        <v>259</v>
      </c>
      <c r="B213">
        <v>45684</v>
      </c>
      <c r="C213" t="s">
        <v>88</v>
      </c>
      <c r="D213">
        <v>7</v>
      </c>
      <c r="E213" s="1">
        <v>1575</v>
      </c>
      <c r="F213" s="2">
        <v>0.2</v>
      </c>
      <c r="G213" s="1">
        <v>8820</v>
      </c>
      <c r="H213" s="1">
        <v>7166.25</v>
      </c>
      <c r="I213" s="1">
        <v>1653.75</v>
      </c>
      <c r="J213" t="s">
        <v>19</v>
      </c>
      <c r="K213" t="s">
        <v>34</v>
      </c>
      <c r="L213" t="s">
        <v>25</v>
      </c>
    </row>
    <row r="214" spans="1:12" x14ac:dyDescent="0.3">
      <c r="A214" t="s">
        <v>260</v>
      </c>
      <c r="B214">
        <v>46114</v>
      </c>
      <c r="C214" t="s">
        <v>39</v>
      </c>
      <c r="D214">
        <v>8</v>
      </c>
      <c r="E214" s="1">
        <v>12500</v>
      </c>
      <c r="F214" s="2">
        <v>0.05</v>
      </c>
      <c r="G214" s="1">
        <v>95000</v>
      </c>
      <c r="H214" s="1">
        <v>65000</v>
      </c>
      <c r="I214" s="1">
        <v>30000</v>
      </c>
      <c r="J214" t="s">
        <v>19</v>
      </c>
      <c r="K214" t="s">
        <v>20</v>
      </c>
      <c r="L214" t="s">
        <v>21</v>
      </c>
    </row>
    <row r="215" spans="1:12" x14ac:dyDescent="0.3">
      <c r="A215" t="s">
        <v>261</v>
      </c>
      <c r="B215">
        <v>46120</v>
      </c>
      <c r="C215" t="s">
        <v>88</v>
      </c>
      <c r="D215">
        <v>2</v>
      </c>
      <c r="E215" s="1">
        <v>1575</v>
      </c>
      <c r="F215" s="2">
        <v>0.1</v>
      </c>
      <c r="G215" s="1">
        <v>2835</v>
      </c>
      <c r="H215" s="1">
        <v>2047.5</v>
      </c>
      <c r="I215" s="1">
        <v>787.5</v>
      </c>
      <c r="J215" t="s">
        <v>27</v>
      </c>
      <c r="K215" t="s">
        <v>49</v>
      </c>
      <c r="L215" t="s">
        <v>16</v>
      </c>
    </row>
    <row r="216" spans="1:12" x14ac:dyDescent="0.3">
      <c r="A216" t="s">
        <v>262</v>
      </c>
      <c r="B216">
        <v>45955</v>
      </c>
      <c r="C216" t="s">
        <v>60</v>
      </c>
      <c r="D216">
        <v>3</v>
      </c>
      <c r="E216" s="1">
        <v>2200</v>
      </c>
      <c r="F216" s="2">
        <v>0.1</v>
      </c>
      <c r="G216" s="1">
        <v>5940</v>
      </c>
      <c r="H216" s="1">
        <v>4290</v>
      </c>
      <c r="I216" s="1">
        <v>1650</v>
      </c>
      <c r="J216" t="s">
        <v>14</v>
      </c>
      <c r="K216" t="s">
        <v>15</v>
      </c>
      <c r="L216" t="s">
        <v>21</v>
      </c>
    </row>
    <row r="217" spans="1:12" x14ac:dyDescent="0.3">
      <c r="A217" t="s">
        <v>263</v>
      </c>
      <c r="B217">
        <v>45800</v>
      </c>
      <c r="C217" t="s">
        <v>39</v>
      </c>
      <c r="D217">
        <v>1</v>
      </c>
      <c r="E217" s="1">
        <v>13125</v>
      </c>
      <c r="F217" s="2">
        <v>0.1</v>
      </c>
      <c r="G217" s="1">
        <v>11812.5</v>
      </c>
      <c r="H217" s="1">
        <v>8531.25</v>
      </c>
      <c r="I217" s="1">
        <v>3281.25</v>
      </c>
      <c r="J217" t="s">
        <v>27</v>
      </c>
      <c r="K217" t="s">
        <v>52</v>
      </c>
      <c r="L217" t="s">
        <v>16</v>
      </c>
    </row>
    <row r="218" spans="1:12" x14ac:dyDescent="0.3">
      <c r="A218" t="s">
        <v>264</v>
      </c>
      <c r="B218">
        <v>45790</v>
      </c>
      <c r="C218" t="s">
        <v>18</v>
      </c>
      <c r="D218">
        <v>2</v>
      </c>
      <c r="E218" s="1">
        <v>1710</v>
      </c>
      <c r="F218" s="2">
        <v>0.1</v>
      </c>
      <c r="G218" s="1">
        <v>3078</v>
      </c>
      <c r="H218" s="1">
        <v>2223</v>
      </c>
      <c r="I218" s="1">
        <v>855</v>
      </c>
      <c r="J218" t="s">
        <v>23</v>
      </c>
      <c r="K218" t="s">
        <v>72</v>
      </c>
      <c r="L218" t="s">
        <v>16</v>
      </c>
    </row>
    <row r="219" spans="1:12" x14ac:dyDescent="0.3">
      <c r="A219" t="s">
        <v>265</v>
      </c>
      <c r="B219">
        <v>46078</v>
      </c>
      <c r="C219" t="s">
        <v>43</v>
      </c>
      <c r="D219">
        <v>3</v>
      </c>
      <c r="E219" s="1">
        <v>3040</v>
      </c>
      <c r="F219" s="2">
        <v>0.1</v>
      </c>
      <c r="G219" s="1">
        <v>8208</v>
      </c>
      <c r="H219" s="1">
        <v>5928</v>
      </c>
      <c r="I219" s="1">
        <v>2280</v>
      </c>
      <c r="J219" t="s">
        <v>19</v>
      </c>
      <c r="K219" t="s">
        <v>79</v>
      </c>
      <c r="L219" t="s">
        <v>25</v>
      </c>
    </row>
    <row r="220" spans="1:12" x14ac:dyDescent="0.3">
      <c r="A220" t="s">
        <v>266</v>
      </c>
      <c r="B220">
        <v>46187</v>
      </c>
      <c r="C220" t="s">
        <v>76</v>
      </c>
      <c r="D220">
        <v>3</v>
      </c>
      <c r="E220" s="1">
        <v>700</v>
      </c>
      <c r="F220" s="2">
        <v>0.05</v>
      </c>
      <c r="G220" s="1">
        <v>1995</v>
      </c>
      <c r="H220" s="1">
        <v>1365</v>
      </c>
      <c r="I220" s="1">
        <v>630</v>
      </c>
      <c r="J220" t="s">
        <v>23</v>
      </c>
      <c r="K220" t="s">
        <v>61</v>
      </c>
      <c r="L220" t="s">
        <v>21</v>
      </c>
    </row>
    <row r="221" spans="1:12" x14ac:dyDescent="0.3">
      <c r="A221" t="s">
        <v>267</v>
      </c>
      <c r="B221">
        <v>46188</v>
      </c>
      <c r="C221" t="s">
        <v>88</v>
      </c>
      <c r="D221">
        <v>3</v>
      </c>
      <c r="E221" s="1">
        <v>1500</v>
      </c>
      <c r="F221" s="2">
        <v>0.05</v>
      </c>
      <c r="G221" s="1">
        <v>4275</v>
      </c>
      <c r="H221" s="1">
        <v>2925</v>
      </c>
      <c r="I221" s="1">
        <v>1350</v>
      </c>
      <c r="J221" t="s">
        <v>27</v>
      </c>
      <c r="K221" t="s">
        <v>28</v>
      </c>
      <c r="L221" t="s">
        <v>25</v>
      </c>
    </row>
    <row r="222" spans="1:12" x14ac:dyDescent="0.3">
      <c r="A222" t="s">
        <v>268</v>
      </c>
      <c r="B222">
        <v>46189</v>
      </c>
      <c r="C222" t="s">
        <v>60</v>
      </c>
      <c r="D222">
        <v>5</v>
      </c>
      <c r="E222" s="1">
        <v>2090</v>
      </c>
      <c r="F222" s="2">
        <v>0.05</v>
      </c>
      <c r="G222" s="1">
        <v>9927.5</v>
      </c>
      <c r="H222" s="1">
        <v>6792.5</v>
      </c>
      <c r="I222" s="1">
        <v>3135</v>
      </c>
      <c r="J222" t="s">
        <v>27</v>
      </c>
      <c r="K222" t="s">
        <v>28</v>
      </c>
      <c r="L222" t="s">
        <v>16</v>
      </c>
    </row>
    <row r="223" spans="1:12" x14ac:dyDescent="0.3">
      <c r="A223" t="s">
        <v>269</v>
      </c>
      <c r="B223">
        <v>45968</v>
      </c>
      <c r="C223" t="s">
        <v>18</v>
      </c>
      <c r="D223">
        <v>3</v>
      </c>
      <c r="E223" s="1">
        <v>1710</v>
      </c>
      <c r="F223" s="2">
        <v>0.2</v>
      </c>
      <c r="G223" s="1">
        <v>4104</v>
      </c>
      <c r="H223" s="1">
        <v>3334.5</v>
      </c>
      <c r="I223" s="1">
        <v>769.5</v>
      </c>
      <c r="J223" t="s">
        <v>14</v>
      </c>
      <c r="K223" t="s">
        <v>40</v>
      </c>
      <c r="L223" t="s">
        <v>16</v>
      </c>
    </row>
    <row r="224" spans="1:12" x14ac:dyDescent="0.3">
      <c r="A224" t="s">
        <v>270</v>
      </c>
      <c r="B224">
        <v>46003</v>
      </c>
      <c r="C224" t="s">
        <v>18</v>
      </c>
      <c r="D224">
        <v>1</v>
      </c>
      <c r="E224" s="1">
        <v>1710</v>
      </c>
      <c r="F224" s="2">
        <v>0</v>
      </c>
      <c r="G224" s="1">
        <v>1710</v>
      </c>
      <c r="H224" s="1">
        <v>1111.5</v>
      </c>
      <c r="I224" s="1">
        <v>598.5</v>
      </c>
      <c r="J224" t="s">
        <v>19</v>
      </c>
      <c r="K224" t="s">
        <v>34</v>
      </c>
      <c r="L224" t="s">
        <v>16</v>
      </c>
    </row>
    <row r="225" spans="1:12" x14ac:dyDescent="0.3">
      <c r="A225" t="s">
        <v>271</v>
      </c>
      <c r="B225">
        <v>45873</v>
      </c>
      <c r="C225" t="s">
        <v>18</v>
      </c>
      <c r="D225">
        <v>1</v>
      </c>
      <c r="E225" s="1">
        <v>1890</v>
      </c>
      <c r="F225" s="2">
        <v>0.15</v>
      </c>
      <c r="G225" s="1">
        <v>1606.5</v>
      </c>
      <c r="H225" s="1">
        <v>1228.5</v>
      </c>
      <c r="I225" s="1">
        <v>378</v>
      </c>
      <c r="J225" t="s">
        <v>27</v>
      </c>
      <c r="K225" t="s">
        <v>31</v>
      </c>
      <c r="L225" t="s">
        <v>25</v>
      </c>
    </row>
    <row r="226" spans="1:12" x14ac:dyDescent="0.3">
      <c r="A226" t="s">
        <v>272</v>
      </c>
      <c r="B226">
        <v>45908</v>
      </c>
      <c r="C226" t="s">
        <v>43</v>
      </c>
      <c r="D226">
        <v>8</v>
      </c>
      <c r="E226" s="1">
        <v>3200</v>
      </c>
      <c r="F226" s="2">
        <v>0</v>
      </c>
      <c r="G226" s="1">
        <v>25600</v>
      </c>
      <c r="H226" s="1">
        <v>16640</v>
      </c>
      <c r="I226" s="1">
        <v>8960</v>
      </c>
      <c r="J226" t="s">
        <v>19</v>
      </c>
      <c r="K226" t="s">
        <v>20</v>
      </c>
      <c r="L226" t="s">
        <v>25</v>
      </c>
    </row>
    <row r="227" spans="1:12" x14ac:dyDescent="0.3">
      <c r="A227" t="s">
        <v>273</v>
      </c>
      <c r="B227">
        <v>46083</v>
      </c>
      <c r="C227" t="s">
        <v>56</v>
      </c>
      <c r="D227">
        <v>4</v>
      </c>
      <c r="E227" s="1">
        <v>10290</v>
      </c>
      <c r="F227" s="2">
        <v>0.1</v>
      </c>
      <c r="G227" s="1">
        <v>37044</v>
      </c>
      <c r="H227" s="1">
        <v>26754</v>
      </c>
      <c r="I227" s="1">
        <v>10290</v>
      </c>
      <c r="J227" t="s">
        <v>14</v>
      </c>
      <c r="K227" t="s">
        <v>36</v>
      </c>
      <c r="L227" t="s">
        <v>16</v>
      </c>
    </row>
    <row r="228" spans="1:12" x14ac:dyDescent="0.3">
      <c r="A228" t="s">
        <v>274</v>
      </c>
      <c r="B228">
        <v>45984</v>
      </c>
      <c r="C228" t="s">
        <v>76</v>
      </c>
      <c r="D228">
        <v>3</v>
      </c>
      <c r="E228" s="1">
        <v>735</v>
      </c>
      <c r="F228" s="2">
        <v>0.1</v>
      </c>
      <c r="G228" s="1">
        <v>1984.5</v>
      </c>
      <c r="H228" s="1">
        <v>1433.25</v>
      </c>
      <c r="I228" s="1">
        <v>551.25</v>
      </c>
      <c r="J228" t="s">
        <v>19</v>
      </c>
      <c r="K228" t="s">
        <v>34</v>
      </c>
      <c r="L228" t="s">
        <v>21</v>
      </c>
    </row>
    <row r="229" spans="1:12" x14ac:dyDescent="0.3">
      <c r="A229" t="s">
        <v>275</v>
      </c>
      <c r="B229">
        <v>46135</v>
      </c>
      <c r="C229" t="s">
        <v>30</v>
      </c>
      <c r="D229">
        <v>8</v>
      </c>
      <c r="E229" s="1">
        <v>650</v>
      </c>
      <c r="F229" s="2">
        <v>0.05</v>
      </c>
      <c r="G229" s="1">
        <v>4940</v>
      </c>
      <c r="H229" s="1">
        <v>3380</v>
      </c>
      <c r="I229" s="1">
        <v>1560</v>
      </c>
      <c r="J229" t="s">
        <v>14</v>
      </c>
      <c r="K229" t="s">
        <v>15</v>
      </c>
      <c r="L229" t="s">
        <v>21</v>
      </c>
    </row>
    <row r="230" spans="1:12" x14ac:dyDescent="0.3">
      <c r="A230" t="s">
        <v>276</v>
      </c>
      <c r="B230">
        <v>45955</v>
      </c>
      <c r="C230" t="s">
        <v>43</v>
      </c>
      <c r="D230">
        <v>4</v>
      </c>
      <c r="E230" s="1">
        <v>3360</v>
      </c>
      <c r="F230" s="2">
        <v>0.05</v>
      </c>
      <c r="G230" s="1">
        <v>12768</v>
      </c>
      <c r="H230" s="1">
        <v>8736</v>
      </c>
      <c r="I230" s="1">
        <v>4032</v>
      </c>
      <c r="J230" t="s">
        <v>27</v>
      </c>
      <c r="K230" t="s">
        <v>31</v>
      </c>
      <c r="L230" t="s">
        <v>21</v>
      </c>
    </row>
    <row r="231" spans="1:12" x14ac:dyDescent="0.3">
      <c r="A231" t="s">
        <v>277</v>
      </c>
      <c r="B231">
        <v>45821</v>
      </c>
      <c r="C231" t="s">
        <v>56</v>
      </c>
      <c r="D231">
        <v>8</v>
      </c>
      <c r="E231" s="1">
        <v>10290</v>
      </c>
      <c r="F231" s="2">
        <v>0.1</v>
      </c>
      <c r="G231" s="1">
        <v>74088</v>
      </c>
      <c r="H231" s="1">
        <v>53508</v>
      </c>
      <c r="I231" s="1">
        <v>20580</v>
      </c>
      <c r="J231" t="s">
        <v>23</v>
      </c>
      <c r="K231" t="s">
        <v>61</v>
      </c>
      <c r="L231" t="s">
        <v>21</v>
      </c>
    </row>
    <row r="232" spans="1:12" x14ac:dyDescent="0.3">
      <c r="A232" t="s">
        <v>278</v>
      </c>
      <c r="B232">
        <v>46060</v>
      </c>
      <c r="C232" t="s">
        <v>51</v>
      </c>
      <c r="D232">
        <v>4</v>
      </c>
      <c r="E232" s="1">
        <v>2730</v>
      </c>
      <c r="F232" s="2">
        <v>0.05</v>
      </c>
      <c r="G232" s="1">
        <v>10374</v>
      </c>
      <c r="H232" s="1">
        <v>7098</v>
      </c>
      <c r="I232" s="1"/>
      <c r="J232" t="s">
        <v>27</v>
      </c>
      <c r="K232" t="s">
        <v>49</v>
      </c>
      <c r="L232" t="s">
        <v>21</v>
      </c>
    </row>
    <row r="233" spans="1:12" x14ac:dyDescent="0.3">
      <c r="A233" t="s">
        <v>279</v>
      </c>
      <c r="B233">
        <v>45946</v>
      </c>
      <c r="C233" t="s">
        <v>56</v>
      </c>
      <c r="D233">
        <v>5</v>
      </c>
      <c r="E233" s="1">
        <v>10290</v>
      </c>
      <c r="F233" s="2">
        <v>0.2</v>
      </c>
      <c r="G233" s="1">
        <v>41160</v>
      </c>
      <c r="H233" s="1">
        <v>33442.5</v>
      </c>
      <c r="I233" s="1">
        <v>7717.5</v>
      </c>
      <c r="J233" t="s">
        <v>19</v>
      </c>
      <c r="K233" t="s">
        <v>70</v>
      </c>
      <c r="L233" t="s">
        <v>25</v>
      </c>
    </row>
    <row r="234" spans="1:12" x14ac:dyDescent="0.3">
      <c r="A234" t="s">
        <v>280</v>
      </c>
      <c r="B234">
        <v>45795</v>
      </c>
      <c r="C234" t="s">
        <v>60</v>
      </c>
      <c r="D234">
        <v>7</v>
      </c>
      <c r="E234" s="1">
        <v>2200</v>
      </c>
      <c r="F234" s="2">
        <v>0.1</v>
      </c>
      <c r="G234" s="1">
        <v>13860</v>
      </c>
      <c r="H234" s="1">
        <v>10010</v>
      </c>
      <c r="I234" s="1">
        <v>3850</v>
      </c>
      <c r="J234" t="s">
        <v>19</v>
      </c>
      <c r="K234" t="s">
        <v>79</v>
      </c>
      <c r="L234" t="s">
        <v>21</v>
      </c>
    </row>
    <row r="235" spans="1:12" x14ac:dyDescent="0.3">
      <c r="A235" t="s">
        <v>281</v>
      </c>
      <c r="B235">
        <v>45857</v>
      </c>
      <c r="C235" t="s">
        <v>76</v>
      </c>
      <c r="D235">
        <v>2</v>
      </c>
      <c r="E235" s="1">
        <v>700</v>
      </c>
      <c r="F235" s="2">
        <v>0.15</v>
      </c>
      <c r="G235" s="1">
        <v>1190</v>
      </c>
      <c r="H235" s="1">
        <v>910</v>
      </c>
      <c r="I235" s="1">
        <v>280</v>
      </c>
      <c r="J235" t="s">
        <v>23</v>
      </c>
      <c r="K235" t="s">
        <v>66</v>
      </c>
      <c r="L235" t="s">
        <v>16</v>
      </c>
    </row>
    <row r="236" spans="1:12" x14ac:dyDescent="0.3">
      <c r="A236" t="s">
        <v>282</v>
      </c>
      <c r="B236">
        <v>45779</v>
      </c>
      <c r="C236" t="s">
        <v>88</v>
      </c>
      <c r="D236">
        <v>7</v>
      </c>
      <c r="E236" s="1">
        <v>1425</v>
      </c>
      <c r="F236" s="2">
        <v>0.1</v>
      </c>
      <c r="G236" s="1">
        <v>8977.5</v>
      </c>
      <c r="H236" s="1">
        <v>6483.75</v>
      </c>
      <c r="I236" s="1">
        <v>2493.75</v>
      </c>
      <c r="J236" t="s">
        <v>27</v>
      </c>
      <c r="K236" t="s">
        <v>31</v>
      </c>
      <c r="L236" t="s">
        <v>21</v>
      </c>
    </row>
    <row r="237" spans="1:12" x14ac:dyDescent="0.3">
      <c r="A237" t="s">
        <v>283</v>
      </c>
      <c r="B237">
        <v>45861</v>
      </c>
      <c r="C237" t="s">
        <v>18</v>
      </c>
      <c r="D237">
        <v>1</v>
      </c>
      <c r="E237" s="1">
        <v>1890</v>
      </c>
      <c r="F237" s="2">
        <v>0</v>
      </c>
      <c r="G237" s="1">
        <v>1890</v>
      </c>
      <c r="H237" s="1">
        <v>1228.5</v>
      </c>
      <c r="I237" s="1">
        <v>661.5</v>
      </c>
      <c r="J237" t="s">
        <v>19</v>
      </c>
      <c r="K237" t="s">
        <v>20</v>
      </c>
      <c r="L237" t="s">
        <v>16</v>
      </c>
    </row>
    <row r="238" spans="1:12" x14ac:dyDescent="0.3">
      <c r="A238" t="s">
        <v>284</v>
      </c>
      <c r="B238">
        <v>45999</v>
      </c>
      <c r="C238" t="s">
        <v>56</v>
      </c>
      <c r="D238">
        <v>3</v>
      </c>
      <c r="E238" s="1">
        <v>10290</v>
      </c>
      <c r="F238" s="2">
        <v>0.2</v>
      </c>
      <c r="G238" s="1">
        <v>24696</v>
      </c>
      <c r="H238" s="1">
        <v>20065.5</v>
      </c>
      <c r="I238" s="1">
        <v>4630.5</v>
      </c>
      <c r="J238" t="s">
        <v>14</v>
      </c>
      <c r="K238" t="s">
        <v>36</v>
      </c>
      <c r="L238" t="s">
        <v>16</v>
      </c>
    </row>
    <row r="239" spans="1:12" x14ac:dyDescent="0.3">
      <c r="A239" t="s">
        <v>285</v>
      </c>
      <c r="B239">
        <v>45984</v>
      </c>
      <c r="C239" t="s">
        <v>88</v>
      </c>
      <c r="D239">
        <v>5</v>
      </c>
      <c r="E239" s="1">
        <v>1575</v>
      </c>
      <c r="F239" s="2">
        <v>0.2</v>
      </c>
      <c r="G239" s="1">
        <v>6300</v>
      </c>
      <c r="H239" s="1">
        <v>5118.75</v>
      </c>
      <c r="I239" s="1">
        <v>1181.25</v>
      </c>
      <c r="J239" t="s">
        <v>27</v>
      </c>
      <c r="K239" t="s">
        <v>52</v>
      </c>
      <c r="L239" t="s">
        <v>16</v>
      </c>
    </row>
    <row r="240" spans="1:12" x14ac:dyDescent="0.3">
      <c r="A240" t="s">
        <v>286</v>
      </c>
      <c r="B240">
        <v>45964</v>
      </c>
      <c r="C240" t="s">
        <v>56</v>
      </c>
      <c r="D240">
        <v>6</v>
      </c>
      <c r="E240" s="1">
        <v>9310</v>
      </c>
      <c r="F240" s="2">
        <v>0.1</v>
      </c>
      <c r="G240" s="1">
        <v>50274</v>
      </c>
      <c r="H240" s="1">
        <v>36309</v>
      </c>
      <c r="I240" s="1">
        <v>13965</v>
      </c>
      <c r="J240" t="s">
        <v>19</v>
      </c>
      <c r="K240" t="s">
        <v>79</v>
      </c>
      <c r="L240" t="s">
        <v>16</v>
      </c>
    </row>
    <row r="241" spans="1:12" x14ac:dyDescent="0.3">
      <c r="A241" t="s">
        <v>287</v>
      </c>
      <c r="B241">
        <v>45973</v>
      </c>
      <c r="C241" t="s">
        <v>13</v>
      </c>
      <c r="D241">
        <v>5</v>
      </c>
      <c r="E241" s="1">
        <v>54600</v>
      </c>
      <c r="F241" s="2">
        <v>0.2</v>
      </c>
      <c r="G241" s="1">
        <v>218400</v>
      </c>
      <c r="H241" s="1">
        <v>177450</v>
      </c>
      <c r="I241" s="1">
        <v>40950</v>
      </c>
      <c r="J241" t="s">
        <v>14</v>
      </c>
      <c r="K241" t="s">
        <v>15</v>
      </c>
      <c r="L241" t="s">
        <v>16</v>
      </c>
    </row>
    <row r="242" spans="1:12" x14ac:dyDescent="0.3">
      <c r="A242" t="s">
        <v>288</v>
      </c>
      <c r="B242">
        <v>46149</v>
      </c>
      <c r="C242" t="s">
        <v>88</v>
      </c>
      <c r="D242">
        <v>3</v>
      </c>
      <c r="E242" s="1">
        <v>1575</v>
      </c>
      <c r="F242" s="2">
        <v>0.05</v>
      </c>
      <c r="G242" s="1">
        <v>4488.75</v>
      </c>
      <c r="H242" s="1">
        <v>3071.25</v>
      </c>
      <c r="I242" s="1">
        <v>1417.5</v>
      </c>
      <c r="J242" t="s">
        <v>19</v>
      </c>
      <c r="K242" t="s">
        <v>70</v>
      </c>
      <c r="L242" t="s">
        <v>21</v>
      </c>
    </row>
    <row r="243" spans="1:12" x14ac:dyDescent="0.3">
      <c r="A243" t="s">
        <v>289</v>
      </c>
      <c r="B243">
        <v>45677</v>
      </c>
      <c r="C243" t="s">
        <v>56</v>
      </c>
      <c r="D243">
        <v>7</v>
      </c>
      <c r="E243" s="1">
        <v>9800</v>
      </c>
      <c r="F243" s="2">
        <v>0.05</v>
      </c>
      <c r="G243" s="1">
        <v>65170</v>
      </c>
      <c r="H243" s="1">
        <v>44590</v>
      </c>
      <c r="I243" s="1">
        <v>20580</v>
      </c>
      <c r="J243" t="s">
        <v>23</v>
      </c>
      <c r="K243" t="s">
        <v>24</v>
      </c>
      <c r="L243" t="s">
        <v>25</v>
      </c>
    </row>
    <row r="244" spans="1:12" x14ac:dyDescent="0.3">
      <c r="A244" t="s">
        <v>290</v>
      </c>
      <c r="B244">
        <v>46171</v>
      </c>
      <c r="C244" t="s">
        <v>18</v>
      </c>
      <c r="D244">
        <v>1</v>
      </c>
      <c r="E244" s="1">
        <v>1890</v>
      </c>
      <c r="F244" s="2">
        <v>0.05</v>
      </c>
      <c r="G244" s="1">
        <v>1795.5</v>
      </c>
      <c r="H244" s="1">
        <v>1228.5</v>
      </c>
      <c r="I244" s="1">
        <v>567</v>
      </c>
      <c r="J244" t="s">
        <v>14</v>
      </c>
      <c r="K244" t="s">
        <v>36</v>
      </c>
      <c r="L244" t="s">
        <v>16</v>
      </c>
    </row>
    <row r="245" spans="1:12" x14ac:dyDescent="0.3">
      <c r="A245" t="s">
        <v>291</v>
      </c>
      <c r="B245">
        <v>46147</v>
      </c>
      <c r="C245" t="s">
        <v>51</v>
      </c>
      <c r="D245">
        <v>6</v>
      </c>
      <c r="E245" s="1">
        <v>2730</v>
      </c>
      <c r="F245" s="2">
        <v>0.05</v>
      </c>
      <c r="G245" s="1">
        <v>15561</v>
      </c>
      <c r="H245" s="1">
        <v>10647</v>
      </c>
      <c r="I245" s="1">
        <v>4914</v>
      </c>
      <c r="J245" t="s">
        <v>23</v>
      </c>
      <c r="K245" t="s">
        <v>66</v>
      </c>
      <c r="L245" t="s">
        <v>16</v>
      </c>
    </row>
    <row r="246" spans="1:12" x14ac:dyDescent="0.3">
      <c r="A246" t="s">
        <v>292</v>
      </c>
      <c r="B246">
        <v>46020</v>
      </c>
      <c r="C246" t="s">
        <v>60</v>
      </c>
      <c r="D246">
        <v>4</v>
      </c>
      <c r="E246" s="1">
        <v>2310</v>
      </c>
      <c r="F246" s="2">
        <v>0.05</v>
      </c>
      <c r="G246" s="1">
        <v>8778</v>
      </c>
      <c r="H246" s="1">
        <v>6006</v>
      </c>
      <c r="I246" s="1">
        <v>2772</v>
      </c>
      <c r="J246" t="s">
        <v>27</v>
      </c>
      <c r="K246" t="s">
        <v>31</v>
      </c>
      <c r="L246" t="s">
        <v>21</v>
      </c>
    </row>
    <row r="247" spans="1:12" x14ac:dyDescent="0.3">
      <c r="A247" t="s">
        <v>293</v>
      </c>
      <c r="B247">
        <v>45962</v>
      </c>
      <c r="C247" t="s">
        <v>60</v>
      </c>
      <c r="D247">
        <v>8</v>
      </c>
      <c r="E247" s="1">
        <v>2200</v>
      </c>
      <c r="F247" s="2">
        <v>0.1</v>
      </c>
      <c r="G247" s="1">
        <v>15840</v>
      </c>
      <c r="H247" s="1">
        <v>11440</v>
      </c>
      <c r="I247" s="1">
        <v>4400</v>
      </c>
      <c r="J247" t="s">
        <v>23</v>
      </c>
      <c r="K247" t="s">
        <v>66</v>
      </c>
      <c r="L247" t="s">
        <v>16</v>
      </c>
    </row>
    <row r="248" spans="1:12" x14ac:dyDescent="0.3">
      <c r="A248" t="s">
        <v>294</v>
      </c>
      <c r="B248">
        <v>45938</v>
      </c>
      <c r="C248" t="s">
        <v>60</v>
      </c>
      <c r="D248">
        <v>7</v>
      </c>
      <c r="E248" s="1">
        <v>2090</v>
      </c>
      <c r="F248" s="2">
        <v>0.15</v>
      </c>
      <c r="G248" s="1">
        <v>12435.5</v>
      </c>
      <c r="H248" s="1">
        <v>9509.5</v>
      </c>
      <c r="I248" s="1">
        <v>2926</v>
      </c>
      <c r="J248" t="s">
        <v>27</v>
      </c>
      <c r="K248" t="s">
        <v>28</v>
      </c>
      <c r="L248" t="s">
        <v>25</v>
      </c>
    </row>
    <row r="249" spans="1:12" x14ac:dyDescent="0.3">
      <c r="A249" t="s">
        <v>295</v>
      </c>
      <c r="B249">
        <v>45701</v>
      </c>
      <c r="C249" t="s">
        <v>60</v>
      </c>
      <c r="D249">
        <v>6</v>
      </c>
      <c r="E249" s="1">
        <v>2090</v>
      </c>
      <c r="F249" s="2">
        <v>0.15</v>
      </c>
      <c r="G249" s="1">
        <v>10659</v>
      </c>
      <c r="H249" s="1">
        <v>8151</v>
      </c>
      <c r="I249" s="1">
        <v>2508</v>
      </c>
      <c r="J249" t="s">
        <v>27</v>
      </c>
      <c r="K249" t="s">
        <v>52</v>
      </c>
      <c r="L249" t="s">
        <v>21</v>
      </c>
    </row>
    <row r="250" spans="1:12" x14ac:dyDescent="0.3">
      <c r="A250" t="s">
        <v>296</v>
      </c>
      <c r="B250">
        <v>45864</v>
      </c>
      <c r="C250" t="s">
        <v>51</v>
      </c>
      <c r="D250">
        <v>5</v>
      </c>
      <c r="E250" s="1">
        <v>2600</v>
      </c>
      <c r="F250" s="2">
        <v>0.05</v>
      </c>
      <c r="G250" s="1">
        <v>12350</v>
      </c>
      <c r="H250" s="1">
        <v>8450</v>
      </c>
      <c r="I250" s="1">
        <v>3900</v>
      </c>
      <c r="J250" t="s">
        <v>19</v>
      </c>
      <c r="K250" t="s">
        <v>20</v>
      </c>
      <c r="L250" t="s">
        <v>21</v>
      </c>
    </row>
    <row r="251" spans="1:12" x14ac:dyDescent="0.3">
      <c r="A251" t="s">
        <v>297</v>
      </c>
      <c r="B251">
        <v>45709</v>
      </c>
      <c r="C251" t="s">
        <v>51</v>
      </c>
      <c r="D251">
        <v>4</v>
      </c>
      <c r="E251" s="1">
        <v>2600</v>
      </c>
      <c r="F251" s="2">
        <v>0</v>
      </c>
      <c r="G251" s="1">
        <v>10400</v>
      </c>
      <c r="H251" s="1">
        <v>6760</v>
      </c>
      <c r="I251" s="1">
        <v>3640</v>
      </c>
      <c r="J251" t="s">
        <v>19</v>
      </c>
      <c r="K251" t="s">
        <v>79</v>
      </c>
      <c r="L251" t="s">
        <v>25</v>
      </c>
    </row>
    <row r="252" spans="1:12" x14ac:dyDescent="0.3">
      <c r="A252" t="s">
        <v>298</v>
      </c>
      <c r="B252">
        <v>46141</v>
      </c>
      <c r="C252" t="s">
        <v>30</v>
      </c>
      <c r="D252">
        <v>1</v>
      </c>
      <c r="E252" s="1">
        <v>650</v>
      </c>
      <c r="F252" s="2">
        <v>0.2</v>
      </c>
      <c r="G252" s="1">
        <v>520</v>
      </c>
      <c r="H252" s="1">
        <v>422.5</v>
      </c>
      <c r="I252" s="1">
        <v>97.5</v>
      </c>
      <c r="J252" t="s">
        <v>299</v>
      </c>
      <c r="K252" t="s">
        <v>47</v>
      </c>
      <c r="L252" t="s">
        <v>16</v>
      </c>
    </row>
    <row r="253" spans="1:12" x14ac:dyDescent="0.3">
      <c r="A253" t="s">
        <v>300</v>
      </c>
      <c r="B253">
        <v>46145</v>
      </c>
      <c r="C253" t="s">
        <v>56</v>
      </c>
      <c r="D253">
        <v>5</v>
      </c>
      <c r="E253" s="1">
        <v>9800</v>
      </c>
      <c r="F253" s="2">
        <v>0.1</v>
      </c>
      <c r="G253" s="1">
        <v>44100</v>
      </c>
      <c r="H253" s="1">
        <v>31850</v>
      </c>
      <c r="I253" s="1">
        <v>12250</v>
      </c>
      <c r="J253" t="s">
        <v>27</v>
      </c>
      <c r="K253" t="s">
        <v>49</v>
      </c>
      <c r="L253" t="s">
        <v>21</v>
      </c>
    </row>
    <row r="254" spans="1:12" x14ac:dyDescent="0.3">
      <c r="A254" t="s">
        <v>301</v>
      </c>
      <c r="B254">
        <v>45895</v>
      </c>
      <c r="C254" t="s">
        <v>51</v>
      </c>
      <c r="D254">
        <v>3</v>
      </c>
      <c r="E254" s="1">
        <v>2470</v>
      </c>
      <c r="F254" s="2">
        <v>0.15</v>
      </c>
      <c r="G254" s="1">
        <v>6298.5</v>
      </c>
      <c r="H254" s="1">
        <v>4816.5</v>
      </c>
      <c r="I254" s="1">
        <v>1482</v>
      </c>
      <c r="J254" t="s">
        <v>14</v>
      </c>
      <c r="K254" t="s">
        <v>15</v>
      </c>
      <c r="L254" t="s">
        <v>25</v>
      </c>
    </row>
    <row r="255" spans="1:12" x14ac:dyDescent="0.3">
      <c r="A255" t="s">
        <v>302</v>
      </c>
      <c r="B255">
        <v>46165</v>
      </c>
      <c r="C255" t="s">
        <v>88</v>
      </c>
      <c r="D255">
        <v>1</v>
      </c>
      <c r="E255" s="1">
        <v>1500</v>
      </c>
      <c r="F255" s="2">
        <v>0</v>
      </c>
      <c r="G255" s="1">
        <v>1500</v>
      </c>
      <c r="H255" s="1">
        <v>975</v>
      </c>
      <c r="I255" s="1">
        <v>525</v>
      </c>
      <c r="J255" t="s">
        <v>27</v>
      </c>
      <c r="K255" t="s">
        <v>49</v>
      </c>
      <c r="L255" t="s">
        <v>25</v>
      </c>
    </row>
    <row r="256" spans="1:12" x14ac:dyDescent="0.3">
      <c r="A256" t="s">
        <v>303</v>
      </c>
      <c r="B256">
        <v>45949</v>
      </c>
      <c r="C256" t="s">
        <v>56</v>
      </c>
      <c r="D256">
        <v>3</v>
      </c>
      <c r="E256" s="1">
        <v>10290</v>
      </c>
      <c r="F256" s="2">
        <v>0.2</v>
      </c>
      <c r="G256" s="1">
        <v>24696</v>
      </c>
      <c r="H256" s="1">
        <v>20065.5</v>
      </c>
      <c r="I256" s="1">
        <v>4630.5</v>
      </c>
      <c r="J256" t="s">
        <v>23</v>
      </c>
      <c r="K256" t="s">
        <v>66</v>
      </c>
      <c r="L256" t="s">
        <v>21</v>
      </c>
    </row>
    <row r="257" spans="1:12" x14ac:dyDescent="0.3">
      <c r="A257" t="s">
        <v>304</v>
      </c>
      <c r="B257">
        <v>45773</v>
      </c>
      <c r="C257" t="s">
        <v>76</v>
      </c>
      <c r="D257">
        <v>8</v>
      </c>
      <c r="E257" s="1">
        <v>700</v>
      </c>
      <c r="F257" s="2">
        <v>0.1</v>
      </c>
      <c r="G257" s="1">
        <v>5040</v>
      </c>
      <c r="H257" s="1">
        <v>3640</v>
      </c>
      <c r="I257" s="1">
        <v>1400</v>
      </c>
      <c r="J257" t="s">
        <v>14</v>
      </c>
      <c r="K257" t="s">
        <v>15</v>
      </c>
      <c r="L257" t="s">
        <v>16</v>
      </c>
    </row>
    <row r="258" spans="1:12" x14ac:dyDescent="0.3">
      <c r="A258" t="s">
        <v>305</v>
      </c>
      <c r="B258">
        <v>46003</v>
      </c>
      <c r="C258" t="s">
        <v>60</v>
      </c>
      <c r="D258">
        <v>3</v>
      </c>
      <c r="E258" s="1">
        <v>2200</v>
      </c>
      <c r="F258" s="2">
        <v>0.2</v>
      </c>
      <c r="G258" s="1">
        <v>5280</v>
      </c>
      <c r="H258" s="1">
        <v>4290</v>
      </c>
      <c r="I258" s="1">
        <v>990</v>
      </c>
      <c r="J258" t="s">
        <v>23</v>
      </c>
      <c r="K258" t="s">
        <v>72</v>
      </c>
      <c r="L258" t="s">
        <v>16</v>
      </c>
    </row>
    <row r="259" spans="1:12" x14ac:dyDescent="0.3">
      <c r="A259" t="s">
        <v>306</v>
      </c>
      <c r="B259">
        <v>45993</v>
      </c>
      <c r="C259" t="s">
        <v>30</v>
      </c>
      <c r="D259">
        <v>2</v>
      </c>
      <c r="E259" s="1">
        <v>682.5</v>
      </c>
      <c r="F259" s="2">
        <v>0.05</v>
      </c>
      <c r="G259" s="1">
        <v>1296.75</v>
      </c>
      <c r="H259" s="1">
        <v>887.25</v>
      </c>
      <c r="I259" s="1">
        <v>409.5</v>
      </c>
      <c r="J259" t="s">
        <v>14</v>
      </c>
      <c r="K259" t="s">
        <v>47</v>
      </c>
      <c r="L259" t="s">
        <v>25</v>
      </c>
    </row>
    <row r="260" spans="1:12" x14ac:dyDescent="0.3">
      <c r="A260" t="s">
        <v>307</v>
      </c>
      <c r="B260">
        <v>45912</v>
      </c>
      <c r="C260" t="s">
        <v>13</v>
      </c>
      <c r="D260">
        <v>7</v>
      </c>
      <c r="E260" s="1">
        <v>52000</v>
      </c>
      <c r="F260" s="2">
        <v>0.05</v>
      </c>
      <c r="G260" s="1">
        <v>345800</v>
      </c>
      <c r="H260" s="1">
        <v>236600</v>
      </c>
      <c r="I260" s="1">
        <v>109200</v>
      </c>
      <c r="J260" t="s">
        <v>23</v>
      </c>
      <c r="K260" t="s">
        <v>66</v>
      </c>
      <c r="L260" t="s">
        <v>25</v>
      </c>
    </row>
    <row r="261" spans="1:12" x14ac:dyDescent="0.3">
      <c r="A261" t="s">
        <v>308</v>
      </c>
      <c r="B261">
        <v>45967</v>
      </c>
      <c r="C261" t="s">
        <v>18</v>
      </c>
      <c r="D261">
        <v>5</v>
      </c>
      <c r="E261" s="1">
        <v>1710</v>
      </c>
      <c r="F261" s="2">
        <v>0.1</v>
      </c>
      <c r="G261" s="1">
        <v>7695</v>
      </c>
      <c r="H261" s="1">
        <v>5557.5</v>
      </c>
      <c r="I261" s="1">
        <v>2137.5</v>
      </c>
      <c r="J261" t="s">
        <v>14</v>
      </c>
      <c r="K261" t="s">
        <v>15</v>
      </c>
      <c r="L261" t="s">
        <v>16</v>
      </c>
    </row>
    <row r="262" spans="1:12" x14ac:dyDescent="0.3">
      <c r="A262" t="s">
        <v>309</v>
      </c>
      <c r="B262">
        <v>45779</v>
      </c>
      <c r="C262" t="s">
        <v>56</v>
      </c>
      <c r="D262">
        <v>3</v>
      </c>
      <c r="E262" s="1">
        <v>9800</v>
      </c>
      <c r="F262" s="2">
        <v>0.15</v>
      </c>
      <c r="G262" s="1">
        <v>24990</v>
      </c>
      <c r="H262" s="1">
        <v>19110</v>
      </c>
      <c r="I262" s="1">
        <v>5880</v>
      </c>
      <c r="J262" t="s">
        <v>27</v>
      </c>
      <c r="K262" t="s">
        <v>49</v>
      </c>
      <c r="L262" t="s">
        <v>310</v>
      </c>
    </row>
    <row r="263" spans="1:12" x14ac:dyDescent="0.3">
      <c r="A263" t="s">
        <v>311</v>
      </c>
      <c r="B263">
        <v>45960</v>
      </c>
      <c r="C263" t="s">
        <v>76</v>
      </c>
      <c r="D263">
        <v>4</v>
      </c>
      <c r="E263" s="1">
        <v>700</v>
      </c>
      <c r="F263" s="2">
        <v>0.05</v>
      </c>
      <c r="G263" s="1">
        <v>2660</v>
      </c>
      <c r="H263" s="1">
        <v>1820</v>
      </c>
      <c r="I263" s="1">
        <v>840</v>
      </c>
      <c r="J263" t="s">
        <v>23</v>
      </c>
      <c r="K263" t="s">
        <v>24</v>
      </c>
      <c r="L263" t="s">
        <v>25</v>
      </c>
    </row>
    <row r="264" spans="1:12" x14ac:dyDescent="0.3">
      <c r="A264" t="s">
        <v>312</v>
      </c>
      <c r="B264">
        <v>46040</v>
      </c>
      <c r="C264" t="s">
        <v>43</v>
      </c>
      <c r="D264">
        <v>4</v>
      </c>
      <c r="E264" s="1">
        <v>3360</v>
      </c>
      <c r="F264" s="2">
        <v>0.05</v>
      </c>
      <c r="G264" s="1">
        <v>12768</v>
      </c>
      <c r="H264" s="1">
        <v>8736</v>
      </c>
      <c r="I264" s="1">
        <v>4032</v>
      </c>
      <c r="J264" t="s">
        <v>19</v>
      </c>
      <c r="K264" t="s">
        <v>79</v>
      </c>
      <c r="L264" t="s">
        <v>16</v>
      </c>
    </row>
    <row r="265" spans="1:12" x14ac:dyDescent="0.3">
      <c r="A265" t="s">
        <v>313</v>
      </c>
      <c r="B265">
        <v>46028</v>
      </c>
      <c r="C265" t="s">
        <v>30</v>
      </c>
      <c r="D265">
        <v>1</v>
      </c>
      <c r="E265" s="1">
        <v>617.5</v>
      </c>
      <c r="F265" s="2">
        <v>0.2</v>
      </c>
      <c r="G265" s="1">
        <v>494</v>
      </c>
      <c r="H265" s="1">
        <v>401.38</v>
      </c>
      <c r="I265" s="1">
        <v>92.62</v>
      </c>
      <c r="J265" t="s">
        <v>14</v>
      </c>
      <c r="K265" t="s">
        <v>40</v>
      </c>
      <c r="L265" t="s">
        <v>21</v>
      </c>
    </row>
    <row r="266" spans="1:12" x14ac:dyDescent="0.3">
      <c r="A266" t="s">
        <v>314</v>
      </c>
      <c r="B266">
        <v>45993</v>
      </c>
      <c r="C266" t="s">
        <v>51</v>
      </c>
      <c r="D266">
        <v>2</v>
      </c>
      <c r="E266" s="1">
        <v>2730</v>
      </c>
      <c r="F266" s="2">
        <v>0.05</v>
      </c>
      <c r="G266" s="1">
        <v>5187</v>
      </c>
      <c r="H266" s="1">
        <v>3549</v>
      </c>
      <c r="I266" s="1">
        <v>1638</v>
      </c>
      <c r="J266" t="s">
        <v>23</v>
      </c>
      <c r="K266" t="s">
        <v>61</v>
      </c>
      <c r="L266" t="s">
        <v>16</v>
      </c>
    </row>
    <row r="267" spans="1:12" x14ac:dyDescent="0.3">
      <c r="A267" t="s">
        <v>315</v>
      </c>
      <c r="B267">
        <v>46114</v>
      </c>
      <c r="C267" t="s">
        <v>13</v>
      </c>
      <c r="D267">
        <v>3</v>
      </c>
      <c r="E267" s="1">
        <v>54600</v>
      </c>
      <c r="F267" s="2">
        <v>0.2</v>
      </c>
      <c r="G267" s="1">
        <v>131040</v>
      </c>
      <c r="H267" s="1">
        <v>106470</v>
      </c>
      <c r="I267" s="1">
        <v>24570</v>
      </c>
      <c r="J267" t="s">
        <v>23</v>
      </c>
      <c r="K267" t="s">
        <v>72</v>
      </c>
      <c r="L267" t="s">
        <v>16</v>
      </c>
    </row>
    <row r="268" spans="1:12" x14ac:dyDescent="0.3">
      <c r="A268" t="s">
        <v>316</v>
      </c>
      <c r="B268">
        <v>45717</v>
      </c>
      <c r="C268" t="s">
        <v>51</v>
      </c>
      <c r="D268">
        <v>5</v>
      </c>
      <c r="E268" s="1">
        <v>2730</v>
      </c>
      <c r="F268" s="2">
        <v>0</v>
      </c>
      <c r="G268" s="1">
        <v>13650</v>
      </c>
      <c r="H268" s="1">
        <v>8872.5</v>
      </c>
      <c r="I268" s="1">
        <v>4777.5</v>
      </c>
      <c r="J268" t="s">
        <v>23</v>
      </c>
      <c r="K268" t="s">
        <v>66</v>
      </c>
      <c r="L268" t="s">
        <v>21</v>
      </c>
    </row>
    <row r="269" spans="1:12" x14ac:dyDescent="0.3">
      <c r="A269" t="s">
        <v>317</v>
      </c>
      <c r="B269">
        <v>45881</v>
      </c>
      <c r="C269" t="s">
        <v>18</v>
      </c>
      <c r="D269">
        <v>1</v>
      </c>
      <c r="E269" s="1">
        <v>1710</v>
      </c>
      <c r="F269" s="2">
        <v>0.15</v>
      </c>
      <c r="G269" s="1">
        <v>1453.5</v>
      </c>
      <c r="H269" s="1">
        <v>1111.5</v>
      </c>
      <c r="I269" s="1">
        <v>342</v>
      </c>
      <c r="J269" t="s">
        <v>27</v>
      </c>
      <c r="K269" t="s">
        <v>49</v>
      </c>
      <c r="L269" t="s">
        <v>16</v>
      </c>
    </row>
    <row r="270" spans="1:12" x14ac:dyDescent="0.3">
      <c r="A270" t="s">
        <v>318</v>
      </c>
      <c r="B270">
        <v>45719</v>
      </c>
      <c r="C270" t="s">
        <v>30</v>
      </c>
      <c r="D270">
        <v>1</v>
      </c>
      <c r="E270" s="1">
        <v>682.5</v>
      </c>
      <c r="F270" s="2">
        <v>0.1</v>
      </c>
      <c r="G270" s="1">
        <v>614.25</v>
      </c>
      <c r="H270" s="1">
        <v>443.62</v>
      </c>
      <c r="I270" s="1">
        <v>170.63</v>
      </c>
      <c r="J270" t="s">
        <v>23</v>
      </c>
      <c r="K270" t="s">
        <v>24</v>
      </c>
      <c r="L270" t="s">
        <v>21</v>
      </c>
    </row>
    <row r="271" spans="1:12" x14ac:dyDescent="0.3">
      <c r="A271" t="s">
        <v>319</v>
      </c>
      <c r="B271">
        <v>46088</v>
      </c>
      <c r="C271" t="s">
        <v>76</v>
      </c>
      <c r="D271">
        <v>8</v>
      </c>
      <c r="E271" s="1">
        <v>735</v>
      </c>
      <c r="F271" s="2">
        <v>0.15</v>
      </c>
      <c r="G271" s="1">
        <v>4998</v>
      </c>
      <c r="H271" s="1">
        <v>3822</v>
      </c>
      <c r="I271" s="1">
        <v>1176</v>
      </c>
      <c r="J271" t="s">
        <v>23</v>
      </c>
      <c r="K271" t="s">
        <v>61</v>
      </c>
      <c r="L271" t="s">
        <v>16</v>
      </c>
    </row>
    <row r="272" spans="1:12" x14ac:dyDescent="0.3">
      <c r="A272" t="s">
        <v>320</v>
      </c>
      <c r="B272">
        <v>45794</v>
      </c>
      <c r="C272" t="s">
        <v>76</v>
      </c>
      <c r="D272">
        <v>3</v>
      </c>
      <c r="E272" s="1">
        <v>665</v>
      </c>
      <c r="F272" s="2">
        <v>0.2</v>
      </c>
      <c r="G272" s="1">
        <v>1596</v>
      </c>
      <c r="H272" s="1">
        <v>1296.75</v>
      </c>
      <c r="I272" s="1">
        <v>299.25</v>
      </c>
      <c r="J272" t="s">
        <v>23</v>
      </c>
      <c r="K272" t="s">
        <v>24</v>
      </c>
      <c r="L272" t="s">
        <v>16</v>
      </c>
    </row>
    <row r="273" spans="1:12" x14ac:dyDescent="0.3">
      <c r="A273" t="s">
        <v>321</v>
      </c>
      <c r="B273">
        <v>45886</v>
      </c>
      <c r="C273" t="s">
        <v>13</v>
      </c>
      <c r="D273">
        <v>5</v>
      </c>
      <c r="E273" s="1">
        <v>49400</v>
      </c>
      <c r="F273" s="2">
        <v>0.15</v>
      </c>
      <c r="G273" s="1">
        <v>209950</v>
      </c>
      <c r="H273" s="1">
        <v>160550</v>
      </c>
      <c r="I273" s="1">
        <v>49400</v>
      </c>
      <c r="J273" t="s">
        <v>23</v>
      </c>
      <c r="K273" t="s">
        <v>72</v>
      </c>
      <c r="L273" t="s">
        <v>21</v>
      </c>
    </row>
    <row r="274" spans="1:12" x14ac:dyDescent="0.3">
      <c r="A274" t="s">
        <v>322</v>
      </c>
      <c r="B274">
        <v>45911</v>
      </c>
      <c r="C274" t="s">
        <v>56</v>
      </c>
      <c r="D274">
        <v>3</v>
      </c>
      <c r="E274" s="1">
        <v>9800</v>
      </c>
      <c r="F274" s="2">
        <v>0.1</v>
      </c>
      <c r="G274" s="1">
        <v>26460</v>
      </c>
      <c r="H274" s="1">
        <v>19110</v>
      </c>
      <c r="I274" s="1">
        <v>7350</v>
      </c>
      <c r="J274" t="s">
        <v>14</v>
      </c>
      <c r="K274" t="s">
        <v>15</v>
      </c>
      <c r="L274" t="s">
        <v>21</v>
      </c>
    </row>
    <row r="275" spans="1:12" x14ac:dyDescent="0.3">
      <c r="A275" t="s">
        <v>323</v>
      </c>
      <c r="B275">
        <v>46087</v>
      </c>
      <c r="C275" t="s">
        <v>18</v>
      </c>
      <c r="D275">
        <v>4</v>
      </c>
      <c r="E275" s="1">
        <v>1710</v>
      </c>
      <c r="F275" s="2">
        <v>0.05</v>
      </c>
      <c r="G275" s="1">
        <v>6498</v>
      </c>
      <c r="H275" s="1">
        <v>4446</v>
      </c>
      <c r="I275" s="1">
        <v>2052</v>
      </c>
      <c r="J275" t="s">
        <v>19</v>
      </c>
      <c r="K275" t="s">
        <v>70</v>
      </c>
      <c r="L275" t="s">
        <v>16</v>
      </c>
    </row>
    <row r="276" spans="1:12" x14ac:dyDescent="0.3">
      <c r="A276" t="s">
        <v>324</v>
      </c>
      <c r="B276">
        <v>45692</v>
      </c>
      <c r="C276" t="s">
        <v>56</v>
      </c>
      <c r="D276">
        <v>4</v>
      </c>
      <c r="E276" s="1">
        <v>9310</v>
      </c>
      <c r="F276" s="2">
        <v>0</v>
      </c>
      <c r="G276" s="1">
        <v>37240</v>
      </c>
      <c r="H276" s="1">
        <v>24206</v>
      </c>
      <c r="I276" s="1">
        <v>13034</v>
      </c>
      <c r="J276" t="s">
        <v>23</v>
      </c>
      <c r="K276" t="s">
        <v>72</v>
      </c>
      <c r="L276" t="s">
        <v>21</v>
      </c>
    </row>
    <row r="277" spans="1:12" x14ac:dyDescent="0.3">
      <c r="A277" t="s">
        <v>325</v>
      </c>
      <c r="B277">
        <v>45880</v>
      </c>
      <c r="C277" t="s">
        <v>13</v>
      </c>
      <c r="D277">
        <v>5</v>
      </c>
      <c r="E277" s="1">
        <v>52000</v>
      </c>
      <c r="F277" s="2">
        <v>0.05</v>
      </c>
      <c r="G277" s="1">
        <v>247000</v>
      </c>
      <c r="H277" s="1">
        <v>169000</v>
      </c>
      <c r="I277" s="1">
        <v>78000</v>
      </c>
      <c r="J277" t="s">
        <v>27</v>
      </c>
      <c r="K277" t="s">
        <v>31</v>
      </c>
      <c r="L277" t="s">
        <v>21</v>
      </c>
    </row>
    <row r="278" spans="1:12" x14ac:dyDescent="0.3">
      <c r="A278" t="s">
        <v>326</v>
      </c>
      <c r="B278">
        <v>45967</v>
      </c>
      <c r="C278" t="s">
        <v>88</v>
      </c>
      <c r="D278">
        <v>7</v>
      </c>
      <c r="E278" s="1">
        <v>1500</v>
      </c>
      <c r="F278" s="2">
        <v>0.1</v>
      </c>
      <c r="G278" s="1">
        <v>9450</v>
      </c>
      <c r="H278" s="1">
        <v>6825</v>
      </c>
      <c r="I278" s="1">
        <v>2625</v>
      </c>
      <c r="J278" t="s">
        <v>27</v>
      </c>
      <c r="K278" t="s">
        <v>49</v>
      </c>
      <c r="L278" t="s">
        <v>16</v>
      </c>
    </row>
    <row r="279" spans="1:12" x14ac:dyDescent="0.3">
      <c r="A279" t="s">
        <v>327</v>
      </c>
      <c r="B279">
        <v>45837</v>
      </c>
      <c r="C279" t="s">
        <v>43</v>
      </c>
      <c r="D279">
        <v>1</v>
      </c>
      <c r="E279" s="1">
        <v>3360</v>
      </c>
      <c r="F279" s="2">
        <v>0.1</v>
      </c>
      <c r="G279" s="1">
        <v>3024</v>
      </c>
      <c r="H279" s="1">
        <v>2184</v>
      </c>
      <c r="I279" s="1">
        <v>840</v>
      </c>
      <c r="J279" t="s">
        <v>23</v>
      </c>
      <c r="K279" t="s">
        <v>66</v>
      </c>
      <c r="L279" t="s">
        <v>16</v>
      </c>
    </row>
    <row r="280" spans="1:12" x14ac:dyDescent="0.3">
      <c r="A280" t="s">
        <v>328</v>
      </c>
      <c r="B280">
        <v>46084</v>
      </c>
      <c r="C280" t="s">
        <v>43</v>
      </c>
      <c r="D280">
        <v>5</v>
      </c>
      <c r="E280" s="1">
        <v>3200</v>
      </c>
      <c r="F280" s="2">
        <v>0.15</v>
      </c>
      <c r="G280" s="1">
        <v>13600</v>
      </c>
      <c r="H280" s="1">
        <v>10400</v>
      </c>
      <c r="I280" s="1">
        <v>3200</v>
      </c>
      <c r="J280" t="s">
        <v>14</v>
      </c>
      <c r="K280" t="s">
        <v>47</v>
      </c>
      <c r="L280" t="s">
        <v>21</v>
      </c>
    </row>
    <row r="281" spans="1:12" x14ac:dyDescent="0.3">
      <c r="A281" t="s">
        <v>329</v>
      </c>
      <c r="B281">
        <v>45888</v>
      </c>
      <c r="C281" t="s">
        <v>60</v>
      </c>
      <c r="D281">
        <v>8</v>
      </c>
      <c r="E281" s="1">
        <v>2200</v>
      </c>
      <c r="F281" s="2">
        <v>0</v>
      </c>
      <c r="G281" s="1">
        <v>17600</v>
      </c>
      <c r="H281" s="1">
        <v>11440</v>
      </c>
      <c r="I281" s="1">
        <v>6160</v>
      </c>
      <c r="J281" t="s">
        <v>23</v>
      </c>
      <c r="K281" t="s">
        <v>72</v>
      </c>
      <c r="L281" t="s">
        <v>16</v>
      </c>
    </row>
    <row r="282" spans="1:12" x14ac:dyDescent="0.3">
      <c r="A282" t="s">
        <v>330</v>
      </c>
      <c r="B282">
        <v>46200</v>
      </c>
      <c r="C282" t="s">
        <v>88</v>
      </c>
      <c r="D282">
        <v>4</v>
      </c>
      <c r="E282" s="1">
        <v>1575</v>
      </c>
      <c r="F282" s="2">
        <v>0.1</v>
      </c>
      <c r="G282" s="1">
        <v>5670</v>
      </c>
      <c r="H282" s="1">
        <v>4095</v>
      </c>
      <c r="I282" s="1">
        <v>1575</v>
      </c>
      <c r="J282" t="s">
        <v>14</v>
      </c>
      <c r="K282" t="s">
        <v>36</v>
      </c>
      <c r="L282" t="s">
        <v>16</v>
      </c>
    </row>
    <row r="283" spans="1:12" x14ac:dyDescent="0.3">
      <c r="A283" t="s">
        <v>331</v>
      </c>
      <c r="B283">
        <v>45738</v>
      </c>
      <c r="C283" t="s">
        <v>56</v>
      </c>
      <c r="D283">
        <v>2</v>
      </c>
      <c r="E283" s="1">
        <v>9800</v>
      </c>
      <c r="F283" s="2">
        <v>0.2</v>
      </c>
      <c r="G283" s="1">
        <v>15680</v>
      </c>
      <c r="H283" s="1">
        <v>12740</v>
      </c>
      <c r="I283" s="1">
        <v>2940</v>
      </c>
      <c r="J283" t="s">
        <v>14</v>
      </c>
      <c r="K283" t="s">
        <v>15</v>
      </c>
      <c r="L283" t="s">
        <v>25</v>
      </c>
    </row>
    <row r="284" spans="1:12" x14ac:dyDescent="0.3">
      <c r="A284" t="s">
        <v>332</v>
      </c>
      <c r="B284">
        <v>46044</v>
      </c>
      <c r="C284" t="s">
        <v>18</v>
      </c>
      <c r="D284">
        <v>2</v>
      </c>
      <c r="E284" s="1">
        <v>1710</v>
      </c>
      <c r="F284" s="2">
        <v>0.05</v>
      </c>
      <c r="G284" s="1">
        <v>3249</v>
      </c>
      <c r="H284" s="1">
        <v>2223</v>
      </c>
      <c r="I284" s="1">
        <v>1026</v>
      </c>
      <c r="J284" t="s">
        <v>14</v>
      </c>
      <c r="K284" t="s">
        <v>47</v>
      </c>
      <c r="L284" t="s">
        <v>21</v>
      </c>
    </row>
    <row r="285" spans="1:12" x14ac:dyDescent="0.3">
      <c r="A285" t="s">
        <v>333</v>
      </c>
      <c r="B285">
        <v>45998</v>
      </c>
      <c r="C285" t="s">
        <v>60</v>
      </c>
      <c r="D285">
        <v>4</v>
      </c>
      <c r="E285" s="1">
        <v>2090</v>
      </c>
      <c r="F285" s="2">
        <v>0.05</v>
      </c>
      <c r="G285" s="1">
        <v>7942</v>
      </c>
      <c r="H285" s="1">
        <v>5434</v>
      </c>
      <c r="I285" s="1">
        <v>2508</v>
      </c>
      <c r="J285" t="s">
        <v>19</v>
      </c>
      <c r="K285" t="s">
        <v>79</v>
      </c>
      <c r="L285" t="s">
        <v>21</v>
      </c>
    </row>
    <row r="286" spans="1:12" x14ac:dyDescent="0.3">
      <c r="A286" t="s">
        <v>334</v>
      </c>
      <c r="B286">
        <v>45867</v>
      </c>
      <c r="C286" t="s">
        <v>43</v>
      </c>
      <c r="D286">
        <v>6</v>
      </c>
      <c r="E286" s="1">
        <v>3200</v>
      </c>
      <c r="F286" s="2">
        <v>0.1</v>
      </c>
      <c r="G286" s="1">
        <v>17280</v>
      </c>
      <c r="H286" s="1">
        <v>12480</v>
      </c>
      <c r="I286" s="1">
        <v>4800</v>
      </c>
      <c r="J286" t="s">
        <v>23</v>
      </c>
      <c r="K286" t="s">
        <v>72</v>
      </c>
      <c r="L286" t="s">
        <v>16</v>
      </c>
    </row>
    <row r="287" spans="1:12" x14ac:dyDescent="0.3">
      <c r="A287" t="s">
        <v>335</v>
      </c>
      <c r="B287">
        <v>46025</v>
      </c>
      <c r="C287" t="s">
        <v>60</v>
      </c>
      <c r="D287">
        <v>6</v>
      </c>
      <c r="E287" s="1">
        <v>2200</v>
      </c>
      <c r="F287" s="2">
        <v>0.2</v>
      </c>
      <c r="G287" s="1">
        <v>10560</v>
      </c>
      <c r="H287" s="1">
        <v>8580</v>
      </c>
      <c r="I287" s="1">
        <v>1980</v>
      </c>
      <c r="J287" t="s">
        <v>23</v>
      </c>
      <c r="K287" t="s">
        <v>72</v>
      </c>
      <c r="L287" t="s">
        <v>21</v>
      </c>
    </row>
    <row r="288" spans="1:12" x14ac:dyDescent="0.3">
      <c r="A288" t="s">
        <v>336</v>
      </c>
      <c r="B288">
        <v>46138</v>
      </c>
      <c r="C288" t="s">
        <v>76</v>
      </c>
      <c r="D288">
        <v>6</v>
      </c>
      <c r="E288" s="1">
        <v>700</v>
      </c>
      <c r="F288" s="2">
        <v>0.1</v>
      </c>
      <c r="G288" s="1">
        <v>3780</v>
      </c>
      <c r="H288" s="1">
        <v>2730</v>
      </c>
      <c r="I288" s="1">
        <v>1050</v>
      </c>
      <c r="J288" t="s">
        <v>23</v>
      </c>
      <c r="K288" t="s">
        <v>61</v>
      </c>
      <c r="L288" t="s">
        <v>16</v>
      </c>
    </row>
    <row r="289" spans="1:12" x14ac:dyDescent="0.3">
      <c r="A289" t="s">
        <v>337</v>
      </c>
      <c r="B289">
        <v>45884</v>
      </c>
      <c r="C289" t="s">
        <v>88</v>
      </c>
      <c r="D289">
        <v>5</v>
      </c>
      <c r="E289" s="1">
        <v>1425</v>
      </c>
      <c r="F289" s="2">
        <v>0.2</v>
      </c>
      <c r="G289" s="1">
        <v>5700</v>
      </c>
      <c r="H289" s="1">
        <v>4631.25</v>
      </c>
      <c r="I289" s="1">
        <v>1068.75</v>
      </c>
      <c r="J289" t="s">
        <v>23</v>
      </c>
      <c r="K289" t="s">
        <v>66</v>
      </c>
      <c r="L289" t="s">
        <v>21</v>
      </c>
    </row>
    <row r="290" spans="1:12" x14ac:dyDescent="0.3">
      <c r="A290" t="s">
        <v>338</v>
      </c>
      <c r="B290">
        <v>45858</v>
      </c>
      <c r="C290" t="s">
        <v>76</v>
      </c>
      <c r="D290">
        <v>7</v>
      </c>
      <c r="E290" s="1">
        <v>700</v>
      </c>
      <c r="F290" s="2">
        <v>0.2</v>
      </c>
      <c r="G290" s="1">
        <v>3920</v>
      </c>
      <c r="H290" s="1">
        <v>3185</v>
      </c>
      <c r="I290" s="1">
        <v>735</v>
      </c>
      <c r="J290" t="s">
        <v>14</v>
      </c>
      <c r="K290" t="s">
        <v>47</v>
      </c>
      <c r="L290" t="s">
        <v>16</v>
      </c>
    </row>
    <row r="291" spans="1:12" x14ac:dyDescent="0.3">
      <c r="A291" t="s">
        <v>339</v>
      </c>
      <c r="B291">
        <v>46003</v>
      </c>
      <c r="C291" t="s">
        <v>60</v>
      </c>
      <c r="D291">
        <v>8</v>
      </c>
      <c r="E291" s="1">
        <v>2310</v>
      </c>
      <c r="F291" s="2">
        <v>0.15</v>
      </c>
      <c r="G291" s="1"/>
      <c r="H291" s="1">
        <v>12012</v>
      </c>
      <c r="I291" s="1">
        <v>3696</v>
      </c>
      <c r="J291" t="s">
        <v>14</v>
      </c>
      <c r="K291" t="s">
        <v>36</v>
      </c>
      <c r="L291" t="s">
        <v>21</v>
      </c>
    </row>
    <row r="292" spans="1:12" x14ac:dyDescent="0.3">
      <c r="A292" t="s">
        <v>340</v>
      </c>
      <c r="B292">
        <v>45801</v>
      </c>
      <c r="C292" t="s">
        <v>51</v>
      </c>
      <c r="D292">
        <v>3</v>
      </c>
      <c r="E292" s="1">
        <v>2730</v>
      </c>
      <c r="F292" s="2">
        <v>0.2</v>
      </c>
      <c r="G292" s="1">
        <v>6552</v>
      </c>
      <c r="H292" s="1">
        <v>5323.5</v>
      </c>
      <c r="I292" s="1">
        <v>1228.5</v>
      </c>
      <c r="J292" t="s">
        <v>19</v>
      </c>
      <c r="K292" t="s">
        <v>70</v>
      </c>
      <c r="L292" t="s">
        <v>21</v>
      </c>
    </row>
    <row r="293" spans="1:12" x14ac:dyDescent="0.3">
      <c r="A293" t="s">
        <v>341</v>
      </c>
      <c r="B293">
        <v>45707</v>
      </c>
      <c r="C293" t="s">
        <v>13</v>
      </c>
      <c r="D293">
        <v>3</v>
      </c>
      <c r="E293" s="1">
        <v>54600</v>
      </c>
      <c r="F293" s="2">
        <v>0.05</v>
      </c>
      <c r="G293" s="1">
        <v>155610</v>
      </c>
      <c r="H293" s="1">
        <v>106470</v>
      </c>
      <c r="I293" s="1">
        <v>49140</v>
      </c>
      <c r="J293" t="s">
        <v>19</v>
      </c>
      <c r="K293" t="s">
        <v>20</v>
      </c>
      <c r="L293" t="s">
        <v>21</v>
      </c>
    </row>
    <row r="294" spans="1:12" x14ac:dyDescent="0.3">
      <c r="A294" t="s">
        <v>342</v>
      </c>
      <c r="B294">
        <v>45881</v>
      </c>
      <c r="C294" t="s">
        <v>51</v>
      </c>
      <c r="D294">
        <v>6</v>
      </c>
      <c r="E294" s="1">
        <v>2730</v>
      </c>
      <c r="F294" s="2">
        <v>0</v>
      </c>
      <c r="G294" s="1">
        <v>16380</v>
      </c>
      <c r="H294" s="1">
        <v>10647</v>
      </c>
      <c r="I294" s="1">
        <v>5733</v>
      </c>
      <c r="J294" t="s">
        <v>23</v>
      </c>
      <c r="K294" t="s">
        <v>72</v>
      </c>
      <c r="L294" t="s">
        <v>21</v>
      </c>
    </row>
    <row r="295" spans="1:12" x14ac:dyDescent="0.3">
      <c r="A295" t="s">
        <v>343</v>
      </c>
      <c r="B295">
        <v>45664</v>
      </c>
      <c r="C295" t="s">
        <v>51</v>
      </c>
      <c r="D295">
        <v>1</v>
      </c>
      <c r="E295" s="1">
        <v>2730</v>
      </c>
      <c r="F295" s="2">
        <v>0</v>
      </c>
      <c r="G295" s="1">
        <v>2730</v>
      </c>
      <c r="H295" s="1">
        <v>1774.5</v>
      </c>
      <c r="I295" s="1">
        <v>955.5</v>
      </c>
      <c r="J295" t="s">
        <v>27</v>
      </c>
      <c r="K295" t="s">
        <v>31</v>
      </c>
      <c r="L295" t="s">
        <v>21</v>
      </c>
    </row>
    <row r="296" spans="1:12" x14ac:dyDescent="0.3">
      <c r="A296" t="s">
        <v>344</v>
      </c>
      <c r="B296">
        <v>46172</v>
      </c>
      <c r="C296" t="s">
        <v>43</v>
      </c>
      <c r="D296">
        <v>2</v>
      </c>
      <c r="E296" s="1">
        <v>3200</v>
      </c>
      <c r="F296" s="2">
        <v>0</v>
      </c>
      <c r="G296" s="1">
        <v>6400</v>
      </c>
      <c r="H296" s="1">
        <v>4160</v>
      </c>
      <c r="I296" s="1">
        <v>2240</v>
      </c>
      <c r="J296" t="s">
        <v>14</v>
      </c>
      <c r="K296" t="s">
        <v>40</v>
      </c>
      <c r="L296" t="s">
        <v>21</v>
      </c>
    </row>
    <row r="297" spans="1:12" x14ac:dyDescent="0.3">
      <c r="A297" t="s">
        <v>345</v>
      </c>
      <c r="B297">
        <v>46197</v>
      </c>
      <c r="C297" t="s">
        <v>60</v>
      </c>
      <c r="D297">
        <v>5</v>
      </c>
      <c r="E297" s="1">
        <v>2200</v>
      </c>
      <c r="F297" s="2">
        <v>0.15</v>
      </c>
      <c r="G297" s="1">
        <v>9350</v>
      </c>
      <c r="H297" s="1">
        <v>7150</v>
      </c>
      <c r="I297" s="1">
        <v>2200</v>
      </c>
      <c r="J297" t="s">
        <v>19</v>
      </c>
      <c r="K297" t="s">
        <v>34</v>
      </c>
      <c r="L297" t="s">
        <v>25</v>
      </c>
    </row>
    <row r="298" spans="1:12" x14ac:dyDescent="0.3">
      <c r="A298" t="s">
        <v>346</v>
      </c>
      <c r="B298">
        <v>46128</v>
      </c>
      <c r="C298" t="s">
        <v>18</v>
      </c>
      <c r="D298">
        <v>4</v>
      </c>
      <c r="E298" s="1">
        <v>1800</v>
      </c>
      <c r="F298" s="2">
        <v>0.1</v>
      </c>
      <c r="G298" s="1">
        <v>6480</v>
      </c>
      <c r="H298" s="1">
        <v>4680</v>
      </c>
      <c r="I298" s="1">
        <v>1800</v>
      </c>
      <c r="J298" t="s">
        <v>19</v>
      </c>
      <c r="K298" t="s">
        <v>70</v>
      </c>
      <c r="L298" t="s">
        <v>21</v>
      </c>
    </row>
    <row r="299" spans="1:12" x14ac:dyDescent="0.3">
      <c r="A299" t="s">
        <v>347</v>
      </c>
      <c r="B299">
        <v>46073</v>
      </c>
      <c r="C299" t="s">
        <v>43</v>
      </c>
      <c r="D299">
        <v>8</v>
      </c>
      <c r="E299" s="1">
        <v>3360</v>
      </c>
      <c r="F299" s="2">
        <v>0</v>
      </c>
      <c r="G299" s="1">
        <v>26880</v>
      </c>
      <c r="H299" s="1">
        <v>17472</v>
      </c>
      <c r="I299" s="1">
        <v>9408</v>
      </c>
      <c r="J299" t="s">
        <v>19</v>
      </c>
      <c r="K299" t="s">
        <v>20</v>
      </c>
      <c r="L299" t="s">
        <v>21</v>
      </c>
    </row>
    <row r="300" spans="1:12" x14ac:dyDescent="0.3">
      <c r="A300" t="s">
        <v>348</v>
      </c>
      <c r="B300">
        <v>46169</v>
      </c>
      <c r="C300" t="s">
        <v>43</v>
      </c>
      <c r="D300">
        <v>2</v>
      </c>
      <c r="E300" s="1">
        <v>3200</v>
      </c>
      <c r="F300" s="2">
        <v>0.2</v>
      </c>
      <c r="G300" s="1">
        <v>5120</v>
      </c>
      <c r="H300" s="1">
        <v>4160</v>
      </c>
      <c r="I300" s="1">
        <v>960</v>
      </c>
      <c r="J300" t="s">
        <v>19</v>
      </c>
      <c r="K300" t="s">
        <v>20</v>
      </c>
      <c r="L300" t="s">
        <v>21</v>
      </c>
    </row>
    <row r="301" spans="1:12" x14ac:dyDescent="0.3">
      <c r="A301" t="s">
        <v>349</v>
      </c>
      <c r="B301">
        <v>46144</v>
      </c>
      <c r="C301" t="s">
        <v>60</v>
      </c>
      <c r="D301">
        <v>2</v>
      </c>
      <c r="E301" s="1">
        <v>2090</v>
      </c>
      <c r="F301" s="2">
        <v>0.1</v>
      </c>
      <c r="G301" s="1">
        <v>3762</v>
      </c>
      <c r="H301" s="1">
        <v>2717</v>
      </c>
      <c r="I301" s="1">
        <v>1045</v>
      </c>
      <c r="J301" t="s">
        <v>19</v>
      </c>
      <c r="K301" t="s">
        <v>20</v>
      </c>
      <c r="L301" t="s">
        <v>25</v>
      </c>
    </row>
    <row r="302" spans="1:12" x14ac:dyDescent="0.3">
      <c r="A302" t="s">
        <v>350</v>
      </c>
      <c r="B302">
        <v>45674</v>
      </c>
      <c r="C302" t="s">
        <v>39</v>
      </c>
      <c r="D302">
        <v>7</v>
      </c>
      <c r="E302" s="1">
        <v>12500</v>
      </c>
      <c r="F302" s="2">
        <v>0</v>
      </c>
      <c r="G302" s="1">
        <v>87500</v>
      </c>
      <c r="H302" s="1">
        <v>56875</v>
      </c>
      <c r="I302" s="1">
        <v>30625</v>
      </c>
      <c r="J302" t="s">
        <v>27</v>
      </c>
      <c r="K302" t="s">
        <v>28</v>
      </c>
      <c r="L302" t="s">
        <v>16</v>
      </c>
    </row>
    <row r="303" spans="1:12" x14ac:dyDescent="0.3">
      <c r="A303" t="s">
        <v>351</v>
      </c>
      <c r="B303">
        <v>45904</v>
      </c>
      <c r="C303" t="s">
        <v>18</v>
      </c>
      <c r="D303">
        <v>6</v>
      </c>
      <c r="E303" s="1">
        <v>1890</v>
      </c>
      <c r="F303" s="2">
        <v>0.15</v>
      </c>
      <c r="G303" s="1">
        <v>9639</v>
      </c>
      <c r="H303" s="1">
        <v>7371</v>
      </c>
      <c r="I303" s="1">
        <v>2268</v>
      </c>
      <c r="J303" t="s">
        <v>14</v>
      </c>
      <c r="K303" t="s">
        <v>15</v>
      </c>
      <c r="L303" t="s">
        <v>16</v>
      </c>
    </row>
    <row r="304" spans="1:12" x14ac:dyDescent="0.3">
      <c r="A304" t="s">
        <v>352</v>
      </c>
      <c r="B304">
        <v>46012</v>
      </c>
      <c r="C304" t="s">
        <v>13</v>
      </c>
      <c r="D304">
        <v>7</v>
      </c>
      <c r="E304" s="1">
        <v>49400</v>
      </c>
      <c r="F304" s="2">
        <v>0.05</v>
      </c>
      <c r="G304" s="1">
        <v>328510</v>
      </c>
      <c r="H304" s="1">
        <v>224770</v>
      </c>
      <c r="I304" s="1">
        <v>103740</v>
      </c>
      <c r="J304" t="s">
        <v>19</v>
      </c>
      <c r="K304" t="s">
        <v>34</v>
      </c>
      <c r="L304" t="s">
        <v>16</v>
      </c>
    </row>
    <row r="305" spans="1:12" x14ac:dyDescent="0.3">
      <c r="A305" t="s">
        <v>353</v>
      </c>
      <c r="B305">
        <v>46064</v>
      </c>
      <c r="C305" t="s">
        <v>76</v>
      </c>
      <c r="D305">
        <v>5</v>
      </c>
      <c r="E305" s="1">
        <v>665</v>
      </c>
      <c r="F305" s="2">
        <v>0.15</v>
      </c>
      <c r="G305" s="1">
        <v>2826.25</v>
      </c>
      <c r="H305" s="1">
        <v>2161.25</v>
      </c>
      <c r="I305" s="1">
        <v>665</v>
      </c>
      <c r="J305" t="s">
        <v>23</v>
      </c>
      <c r="K305" t="s">
        <v>24</v>
      </c>
      <c r="L305" t="s">
        <v>25</v>
      </c>
    </row>
    <row r="306" spans="1:12" x14ac:dyDescent="0.3">
      <c r="A306" t="s">
        <v>354</v>
      </c>
      <c r="B306">
        <v>46042</v>
      </c>
      <c r="C306" t="s">
        <v>43</v>
      </c>
      <c r="D306">
        <v>7</v>
      </c>
      <c r="E306" s="1">
        <v>3200</v>
      </c>
      <c r="F306" s="2">
        <v>0</v>
      </c>
      <c r="G306" s="1">
        <v>22400</v>
      </c>
      <c r="H306" s="1">
        <v>14560</v>
      </c>
      <c r="I306" s="1">
        <v>7840</v>
      </c>
      <c r="J306" t="s">
        <v>27</v>
      </c>
      <c r="K306" t="s">
        <v>28</v>
      </c>
      <c r="L306" t="s">
        <v>16</v>
      </c>
    </row>
    <row r="307" spans="1:12" x14ac:dyDescent="0.3">
      <c r="A307" t="s">
        <v>355</v>
      </c>
      <c r="B307">
        <v>45733</v>
      </c>
      <c r="C307" t="s">
        <v>30</v>
      </c>
      <c r="D307">
        <v>3</v>
      </c>
      <c r="E307" s="1">
        <v>650</v>
      </c>
      <c r="F307" s="2">
        <v>0.15</v>
      </c>
      <c r="G307" s="1">
        <v>1657.5</v>
      </c>
      <c r="H307" s="1">
        <v>1267.5</v>
      </c>
      <c r="I307" s="1">
        <v>390</v>
      </c>
      <c r="J307" t="s">
        <v>14</v>
      </c>
      <c r="K307" t="s">
        <v>47</v>
      </c>
      <c r="L307" t="s">
        <v>25</v>
      </c>
    </row>
    <row r="308" spans="1:12" x14ac:dyDescent="0.3">
      <c r="A308" t="s">
        <v>356</v>
      </c>
      <c r="B308">
        <v>46027</v>
      </c>
      <c r="C308" t="s">
        <v>30</v>
      </c>
      <c r="D308">
        <v>1</v>
      </c>
      <c r="E308" s="1">
        <v>617.5</v>
      </c>
      <c r="F308" s="2">
        <v>0.1</v>
      </c>
      <c r="G308" s="1">
        <v>555.75</v>
      </c>
      <c r="H308" s="1">
        <v>401.38</v>
      </c>
      <c r="I308" s="1">
        <v>154.37</v>
      </c>
      <c r="J308" t="s">
        <v>23</v>
      </c>
      <c r="K308" t="s">
        <v>66</v>
      </c>
      <c r="L308" t="s">
        <v>25</v>
      </c>
    </row>
    <row r="309" spans="1:12" x14ac:dyDescent="0.3">
      <c r="A309" t="s">
        <v>357</v>
      </c>
      <c r="B309" t="s">
        <v>686</v>
      </c>
      <c r="C309" t="s">
        <v>88</v>
      </c>
      <c r="D309">
        <v>3</v>
      </c>
      <c r="E309" s="1">
        <v>1425</v>
      </c>
      <c r="F309" s="2">
        <v>0.15</v>
      </c>
      <c r="G309" s="1">
        <v>3633.75</v>
      </c>
      <c r="H309" s="1">
        <v>2778.75</v>
      </c>
      <c r="I309" s="1">
        <v>855</v>
      </c>
      <c r="J309" t="s">
        <v>23</v>
      </c>
      <c r="K309" t="s">
        <v>72</v>
      </c>
      <c r="L309" t="s">
        <v>21</v>
      </c>
    </row>
    <row r="310" spans="1:12" x14ac:dyDescent="0.3">
      <c r="A310" t="s">
        <v>358</v>
      </c>
      <c r="B310">
        <v>45684</v>
      </c>
      <c r="C310" t="s">
        <v>30</v>
      </c>
      <c r="D310">
        <v>2</v>
      </c>
      <c r="E310" s="1">
        <v>650</v>
      </c>
      <c r="F310" s="2">
        <v>0.2</v>
      </c>
      <c r="G310" s="1">
        <v>1040</v>
      </c>
      <c r="H310" s="1">
        <v>845</v>
      </c>
      <c r="I310" s="1">
        <v>195</v>
      </c>
      <c r="J310" t="s">
        <v>27</v>
      </c>
      <c r="K310" t="s">
        <v>52</v>
      </c>
      <c r="L310" t="s">
        <v>21</v>
      </c>
    </row>
    <row r="311" spans="1:12" x14ac:dyDescent="0.3">
      <c r="A311" t="s">
        <v>359</v>
      </c>
      <c r="B311">
        <v>45956</v>
      </c>
      <c r="C311" t="s">
        <v>43</v>
      </c>
      <c r="D311">
        <v>2</v>
      </c>
      <c r="E311" s="1">
        <v>3360</v>
      </c>
      <c r="F311" s="2">
        <v>0.2</v>
      </c>
      <c r="G311" s="1">
        <v>5376</v>
      </c>
      <c r="H311" s="1">
        <v>4368</v>
      </c>
      <c r="I311" s="1">
        <v>1008</v>
      </c>
      <c r="J311" t="s">
        <v>14</v>
      </c>
      <c r="K311" t="s">
        <v>40</v>
      </c>
      <c r="L311" t="s">
        <v>16</v>
      </c>
    </row>
    <row r="312" spans="1:12" x14ac:dyDescent="0.3">
      <c r="A312" t="s">
        <v>360</v>
      </c>
      <c r="B312">
        <v>46047</v>
      </c>
      <c r="C312" t="s">
        <v>88</v>
      </c>
      <c r="D312">
        <v>5</v>
      </c>
      <c r="E312" s="1">
        <v>1500</v>
      </c>
      <c r="F312" s="2">
        <v>0.1</v>
      </c>
      <c r="G312" s="1">
        <v>6750</v>
      </c>
      <c r="H312" s="1">
        <v>4875</v>
      </c>
      <c r="I312" s="1">
        <v>1875</v>
      </c>
      <c r="J312" t="s">
        <v>27</v>
      </c>
      <c r="K312" t="s">
        <v>52</v>
      </c>
      <c r="L312" t="s">
        <v>21</v>
      </c>
    </row>
    <row r="313" spans="1:12" x14ac:dyDescent="0.3">
      <c r="A313" t="s">
        <v>361</v>
      </c>
      <c r="B313">
        <v>45722</v>
      </c>
      <c r="C313" t="s">
        <v>88</v>
      </c>
      <c r="D313">
        <v>5</v>
      </c>
      <c r="E313" s="1">
        <v>1575</v>
      </c>
      <c r="F313" s="2">
        <v>0.15</v>
      </c>
      <c r="G313" s="1">
        <v>6693.75</v>
      </c>
      <c r="H313" s="1">
        <v>5118.75</v>
      </c>
      <c r="I313" s="1">
        <v>1575</v>
      </c>
      <c r="J313" t="s">
        <v>27</v>
      </c>
      <c r="K313" t="s">
        <v>52</v>
      </c>
      <c r="L313" t="s">
        <v>21</v>
      </c>
    </row>
    <row r="314" spans="1:12" x14ac:dyDescent="0.3">
      <c r="A314" t="s">
        <v>362</v>
      </c>
      <c r="B314">
        <v>46027</v>
      </c>
      <c r="C314" t="s">
        <v>60</v>
      </c>
      <c r="D314">
        <v>8</v>
      </c>
      <c r="E314" s="1">
        <v>2200</v>
      </c>
      <c r="F314" s="2">
        <v>0.2</v>
      </c>
      <c r="G314" s="1">
        <v>14080</v>
      </c>
      <c r="H314" s="1">
        <v>11440</v>
      </c>
      <c r="I314" s="1">
        <v>2640</v>
      </c>
      <c r="J314" t="s">
        <v>14</v>
      </c>
      <c r="K314" t="s">
        <v>47</v>
      </c>
      <c r="L314" t="s">
        <v>21</v>
      </c>
    </row>
    <row r="315" spans="1:12" x14ac:dyDescent="0.3">
      <c r="A315" t="s">
        <v>363</v>
      </c>
      <c r="B315">
        <v>45796</v>
      </c>
      <c r="C315" t="s">
        <v>60</v>
      </c>
      <c r="D315">
        <v>7</v>
      </c>
      <c r="E315" s="1">
        <v>2090</v>
      </c>
      <c r="F315" s="2">
        <v>0.1</v>
      </c>
      <c r="G315" s="1">
        <v>13167</v>
      </c>
      <c r="H315" s="1">
        <v>9509.5</v>
      </c>
      <c r="I315" s="1">
        <v>3657.5</v>
      </c>
      <c r="J315" t="s">
        <v>23</v>
      </c>
      <c r="K315" t="s">
        <v>66</v>
      </c>
      <c r="L315" t="s">
        <v>25</v>
      </c>
    </row>
    <row r="316" spans="1:12" x14ac:dyDescent="0.3">
      <c r="A316" t="s">
        <v>364</v>
      </c>
      <c r="B316">
        <v>46000</v>
      </c>
      <c r="C316" t="s">
        <v>43</v>
      </c>
      <c r="D316">
        <v>5</v>
      </c>
      <c r="E316" s="1">
        <v>3200</v>
      </c>
      <c r="F316" s="2">
        <v>0.1</v>
      </c>
      <c r="G316" s="1">
        <v>14400</v>
      </c>
      <c r="H316" s="1">
        <v>10400</v>
      </c>
      <c r="I316" s="1">
        <v>4000</v>
      </c>
      <c r="J316" t="s">
        <v>14</v>
      </c>
      <c r="K316" t="s">
        <v>47</v>
      </c>
      <c r="L316" t="s">
        <v>25</v>
      </c>
    </row>
    <row r="317" spans="1:12" x14ac:dyDescent="0.3">
      <c r="A317" t="s">
        <v>365</v>
      </c>
      <c r="B317">
        <v>45839</v>
      </c>
      <c r="C317" t="s">
        <v>43</v>
      </c>
      <c r="D317">
        <v>5</v>
      </c>
      <c r="E317" s="1">
        <v>3200</v>
      </c>
      <c r="F317" s="2">
        <v>0.15</v>
      </c>
      <c r="G317" s="1">
        <v>13600</v>
      </c>
      <c r="H317" s="1">
        <v>10400</v>
      </c>
      <c r="I317" s="1">
        <v>3200</v>
      </c>
      <c r="J317" t="s">
        <v>14</v>
      </c>
      <c r="K317" t="s">
        <v>36</v>
      </c>
      <c r="L317" t="s">
        <v>25</v>
      </c>
    </row>
    <row r="318" spans="1:12" x14ac:dyDescent="0.3">
      <c r="A318" t="s">
        <v>366</v>
      </c>
      <c r="B318">
        <v>45945</v>
      </c>
      <c r="C318" t="s">
        <v>43</v>
      </c>
      <c r="D318">
        <v>2</v>
      </c>
      <c r="E318" s="1">
        <v>3200</v>
      </c>
      <c r="F318" s="2">
        <v>0.2</v>
      </c>
      <c r="G318" s="1">
        <v>5120</v>
      </c>
      <c r="H318" s="1">
        <v>4160</v>
      </c>
      <c r="I318" s="1">
        <v>960</v>
      </c>
      <c r="J318" t="s">
        <v>14</v>
      </c>
      <c r="K318" t="s">
        <v>40</v>
      </c>
      <c r="L318" t="s">
        <v>16</v>
      </c>
    </row>
    <row r="319" spans="1:12" x14ac:dyDescent="0.3">
      <c r="A319" t="s">
        <v>367</v>
      </c>
      <c r="B319">
        <v>45685</v>
      </c>
      <c r="C319" t="s">
        <v>56</v>
      </c>
      <c r="D319">
        <v>8</v>
      </c>
      <c r="E319" s="1">
        <v>9800</v>
      </c>
      <c r="F319" s="2">
        <v>0.1</v>
      </c>
      <c r="G319" s="1">
        <v>70560</v>
      </c>
      <c r="H319" s="1">
        <v>50960</v>
      </c>
      <c r="I319" s="1">
        <v>19600</v>
      </c>
      <c r="J319" t="s">
        <v>19</v>
      </c>
      <c r="K319" t="s">
        <v>79</v>
      </c>
      <c r="L319" t="s">
        <v>16</v>
      </c>
    </row>
    <row r="320" spans="1:12" x14ac:dyDescent="0.3">
      <c r="A320" t="s">
        <v>368</v>
      </c>
      <c r="B320">
        <v>46169</v>
      </c>
      <c r="C320" t="s">
        <v>88</v>
      </c>
      <c r="D320">
        <v>4</v>
      </c>
      <c r="E320" s="1">
        <v>1500</v>
      </c>
      <c r="F320" s="2">
        <v>0.1</v>
      </c>
      <c r="G320" s="1">
        <v>5400</v>
      </c>
      <c r="H320" s="1">
        <v>3900</v>
      </c>
      <c r="I320" s="1">
        <v>1500</v>
      </c>
      <c r="J320" t="s">
        <v>14</v>
      </c>
      <c r="K320" t="s">
        <v>47</v>
      </c>
      <c r="L320" t="s">
        <v>25</v>
      </c>
    </row>
    <row r="321" spans="1:12" x14ac:dyDescent="0.3">
      <c r="A321" t="s">
        <v>369</v>
      </c>
      <c r="B321">
        <v>45733</v>
      </c>
      <c r="C321" t="s">
        <v>56</v>
      </c>
      <c r="D321">
        <v>7</v>
      </c>
      <c r="E321" s="1">
        <v>10290</v>
      </c>
      <c r="F321" s="2">
        <v>0.2</v>
      </c>
      <c r="G321" s="1">
        <v>57624</v>
      </c>
      <c r="H321" s="1">
        <v>46819.5</v>
      </c>
      <c r="I321" s="1">
        <v>10804.5</v>
      </c>
      <c r="J321" t="s">
        <v>23</v>
      </c>
      <c r="K321" t="s">
        <v>61</v>
      </c>
      <c r="L321" t="s">
        <v>25</v>
      </c>
    </row>
    <row r="322" spans="1:12" x14ac:dyDescent="0.3">
      <c r="A322" t="s">
        <v>370</v>
      </c>
      <c r="B322">
        <v>45745</v>
      </c>
      <c r="C322" t="s">
        <v>30</v>
      </c>
      <c r="D322">
        <v>6</v>
      </c>
      <c r="E322" s="1">
        <v>650</v>
      </c>
      <c r="F322" s="2">
        <v>0.05</v>
      </c>
      <c r="G322" s="1">
        <v>3705</v>
      </c>
      <c r="H322" s="1">
        <v>2535</v>
      </c>
      <c r="I322" s="1">
        <v>1170</v>
      </c>
      <c r="J322" t="s">
        <v>19</v>
      </c>
      <c r="K322" t="s">
        <v>79</v>
      </c>
      <c r="L322" t="s">
        <v>25</v>
      </c>
    </row>
    <row r="323" spans="1:12" x14ac:dyDescent="0.3">
      <c r="A323" t="s">
        <v>371</v>
      </c>
      <c r="B323">
        <v>46098</v>
      </c>
      <c r="C323" t="s">
        <v>30</v>
      </c>
      <c r="D323">
        <v>2</v>
      </c>
      <c r="E323" s="1">
        <v>617.5</v>
      </c>
      <c r="F323" s="2">
        <v>0.1</v>
      </c>
      <c r="G323" s="1">
        <v>1111.5</v>
      </c>
      <c r="H323" s="1"/>
      <c r="I323" s="1">
        <v>308.75</v>
      </c>
      <c r="J323" t="s">
        <v>14</v>
      </c>
      <c r="K323" t="s">
        <v>40</v>
      </c>
      <c r="L323" t="s">
        <v>25</v>
      </c>
    </row>
    <row r="324" spans="1:12" x14ac:dyDescent="0.3">
      <c r="A324" t="s">
        <v>372</v>
      </c>
      <c r="B324">
        <v>46041</v>
      </c>
      <c r="C324" t="s">
        <v>43</v>
      </c>
      <c r="D324">
        <v>3</v>
      </c>
      <c r="E324" s="1">
        <v>3360</v>
      </c>
      <c r="F324" s="2">
        <v>0.1</v>
      </c>
      <c r="G324" s="1">
        <v>9072</v>
      </c>
      <c r="H324" s="1">
        <v>6552</v>
      </c>
      <c r="I324" s="1">
        <v>2520</v>
      </c>
      <c r="J324" t="s">
        <v>19</v>
      </c>
      <c r="K324" t="s">
        <v>79</v>
      </c>
      <c r="L324" t="s">
        <v>21</v>
      </c>
    </row>
    <row r="325" spans="1:12" x14ac:dyDescent="0.3">
      <c r="A325" t="s">
        <v>373</v>
      </c>
      <c r="B325">
        <v>45960</v>
      </c>
      <c r="C325" t="s">
        <v>43</v>
      </c>
      <c r="D325">
        <v>2</v>
      </c>
      <c r="E325" s="1">
        <v>3040</v>
      </c>
      <c r="F325" s="2">
        <v>0.05</v>
      </c>
      <c r="G325" s="1">
        <v>5776</v>
      </c>
      <c r="H325" s="1">
        <v>3952</v>
      </c>
      <c r="I325" s="1">
        <v>1824</v>
      </c>
      <c r="J325" t="s">
        <v>27</v>
      </c>
      <c r="K325" t="s">
        <v>31</v>
      </c>
      <c r="L325" t="s">
        <v>25</v>
      </c>
    </row>
    <row r="326" spans="1:12" x14ac:dyDescent="0.3">
      <c r="A326" t="s">
        <v>374</v>
      </c>
      <c r="B326">
        <v>46124</v>
      </c>
      <c r="C326" t="s">
        <v>39</v>
      </c>
      <c r="D326">
        <v>6</v>
      </c>
      <c r="E326" s="1">
        <v>13125</v>
      </c>
      <c r="F326" s="2">
        <v>0.15</v>
      </c>
      <c r="G326" s="1">
        <v>66937.5</v>
      </c>
      <c r="H326" s="1">
        <v>51187.5</v>
      </c>
      <c r="I326" s="1">
        <v>15750</v>
      </c>
      <c r="J326" t="s">
        <v>19</v>
      </c>
      <c r="K326" t="s">
        <v>79</v>
      </c>
      <c r="L326" t="s">
        <v>16</v>
      </c>
    </row>
    <row r="327" spans="1:12" x14ac:dyDescent="0.3">
      <c r="A327" t="s">
        <v>375</v>
      </c>
      <c r="B327">
        <v>46121</v>
      </c>
      <c r="C327" t="s">
        <v>76</v>
      </c>
      <c r="D327">
        <v>5</v>
      </c>
      <c r="E327" s="1">
        <v>665</v>
      </c>
      <c r="F327" s="2">
        <v>0</v>
      </c>
      <c r="G327" s="1">
        <v>3325</v>
      </c>
      <c r="H327" s="1">
        <v>2161.25</v>
      </c>
      <c r="I327" s="1">
        <v>1163.75</v>
      </c>
      <c r="J327" t="s">
        <v>19</v>
      </c>
      <c r="K327" t="s">
        <v>70</v>
      </c>
      <c r="L327" t="s">
        <v>25</v>
      </c>
    </row>
    <row r="328" spans="1:12" x14ac:dyDescent="0.3">
      <c r="A328" t="s">
        <v>376</v>
      </c>
      <c r="B328">
        <v>45769</v>
      </c>
      <c r="C328" t="s">
        <v>88</v>
      </c>
      <c r="D328">
        <v>3</v>
      </c>
      <c r="E328" s="1">
        <v>1500</v>
      </c>
      <c r="F328" s="2">
        <v>0.2</v>
      </c>
      <c r="G328" s="1">
        <v>3600</v>
      </c>
      <c r="H328" s="1">
        <v>2925</v>
      </c>
      <c r="I328" s="1">
        <v>675</v>
      </c>
      <c r="J328" t="s">
        <v>14</v>
      </c>
      <c r="K328" t="s">
        <v>36</v>
      </c>
      <c r="L328" t="s">
        <v>16</v>
      </c>
    </row>
    <row r="329" spans="1:12" x14ac:dyDescent="0.3">
      <c r="A329" t="s">
        <v>377</v>
      </c>
      <c r="B329">
        <v>46094</v>
      </c>
      <c r="C329" t="s">
        <v>56</v>
      </c>
      <c r="D329">
        <v>7</v>
      </c>
      <c r="E329" s="1">
        <v>9800</v>
      </c>
      <c r="F329" s="2">
        <v>0.05</v>
      </c>
      <c r="G329" s="1">
        <v>65170</v>
      </c>
      <c r="H329" s="1">
        <v>44590</v>
      </c>
      <c r="I329" s="1">
        <v>20580</v>
      </c>
      <c r="J329" t="s">
        <v>14</v>
      </c>
      <c r="K329" t="s">
        <v>47</v>
      </c>
      <c r="L329" t="s">
        <v>25</v>
      </c>
    </row>
    <row r="330" spans="1:12" x14ac:dyDescent="0.3">
      <c r="A330" t="s">
        <v>378</v>
      </c>
      <c r="B330">
        <v>45687</v>
      </c>
      <c r="C330" t="s">
        <v>18</v>
      </c>
      <c r="D330">
        <v>8</v>
      </c>
      <c r="E330" s="1">
        <v>1800</v>
      </c>
      <c r="F330" s="2">
        <v>0.2</v>
      </c>
      <c r="G330" s="1">
        <v>11520</v>
      </c>
      <c r="H330" s="1">
        <v>9360</v>
      </c>
      <c r="I330" s="1">
        <v>2160</v>
      </c>
      <c r="J330" t="s">
        <v>23</v>
      </c>
      <c r="K330" t="s">
        <v>72</v>
      </c>
      <c r="L330" t="s">
        <v>21</v>
      </c>
    </row>
    <row r="331" spans="1:12" x14ac:dyDescent="0.3">
      <c r="A331" t="s">
        <v>379</v>
      </c>
      <c r="B331">
        <v>45877</v>
      </c>
      <c r="C331" t="s">
        <v>39</v>
      </c>
      <c r="D331">
        <v>2</v>
      </c>
      <c r="E331" s="1">
        <v>12500</v>
      </c>
      <c r="F331" s="2">
        <v>0.2</v>
      </c>
      <c r="G331" s="1">
        <v>20000</v>
      </c>
      <c r="H331" s="1">
        <v>16250</v>
      </c>
      <c r="I331" s="1">
        <v>3750</v>
      </c>
      <c r="J331" t="s">
        <v>19</v>
      </c>
      <c r="K331" t="s">
        <v>20</v>
      </c>
      <c r="L331" t="s">
        <v>25</v>
      </c>
    </row>
    <row r="332" spans="1:12" x14ac:dyDescent="0.3">
      <c r="A332" t="s">
        <v>380</v>
      </c>
      <c r="B332">
        <v>45991</v>
      </c>
      <c r="C332" t="s">
        <v>39</v>
      </c>
      <c r="D332">
        <v>2</v>
      </c>
      <c r="E332" s="1">
        <v>13125</v>
      </c>
      <c r="F332" s="2">
        <v>0.1</v>
      </c>
      <c r="G332" s="1">
        <v>23625</v>
      </c>
      <c r="H332" s="1">
        <v>17062.5</v>
      </c>
      <c r="I332" s="1">
        <v>6562.5</v>
      </c>
      <c r="J332" t="s">
        <v>23</v>
      </c>
      <c r="K332" t="s">
        <v>66</v>
      </c>
      <c r="L332" t="s">
        <v>16</v>
      </c>
    </row>
    <row r="333" spans="1:12" x14ac:dyDescent="0.3">
      <c r="A333" t="s">
        <v>381</v>
      </c>
      <c r="B333">
        <v>46055</v>
      </c>
      <c r="C333" t="s">
        <v>18</v>
      </c>
      <c r="D333">
        <v>2</v>
      </c>
      <c r="E333" s="1">
        <v>1890</v>
      </c>
      <c r="F333" s="2">
        <v>0.1</v>
      </c>
      <c r="G333" s="1">
        <v>3402</v>
      </c>
      <c r="H333" s="1">
        <v>2457</v>
      </c>
      <c r="I333" s="1">
        <v>945</v>
      </c>
      <c r="J333" t="s">
        <v>27</v>
      </c>
      <c r="K333" t="s">
        <v>52</v>
      </c>
      <c r="L333" t="s">
        <v>16</v>
      </c>
    </row>
    <row r="334" spans="1:12" x14ac:dyDescent="0.3">
      <c r="A334" t="s">
        <v>382</v>
      </c>
      <c r="B334">
        <v>45834</v>
      </c>
      <c r="C334" t="s">
        <v>60</v>
      </c>
      <c r="D334">
        <v>3</v>
      </c>
      <c r="E334" s="1">
        <v>2090</v>
      </c>
      <c r="F334" s="2">
        <v>0.1</v>
      </c>
      <c r="G334" s="1">
        <v>5643</v>
      </c>
      <c r="H334" s="1">
        <v>4075.5</v>
      </c>
      <c r="I334" s="1">
        <v>1567.5</v>
      </c>
      <c r="J334" t="s">
        <v>19</v>
      </c>
      <c r="K334" t="s">
        <v>20</v>
      </c>
      <c r="L334" t="s">
        <v>25</v>
      </c>
    </row>
    <row r="335" spans="1:12" x14ac:dyDescent="0.3">
      <c r="A335" t="s">
        <v>383</v>
      </c>
      <c r="B335">
        <v>45777</v>
      </c>
      <c r="C335" t="s">
        <v>88</v>
      </c>
      <c r="D335">
        <v>3</v>
      </c>
      <c r="E335" s="1">
        <v>1500</v>
      </c>
      <c r="F335" s="2">
        <v>0.2</v>
      </c>
      <c r="G335" s="1">
        <v>3600</v>
      </c>
      <c r="H335" s="1">
        <v>2925</v>
      </c>
      <c r="I335" s="1">
        <v>675</v>
      </c>
      <c r="J335" t="s">
        <v>23</v>
      </c>
      <c r="K335" t="s">
        <v>72</v>
      </c>
      <c r="L335" t="s">
        <v>16</v>
      </c>
    </row>
    <row r="336" spans="1:12" x14ac:dyDescent="0.3">
      <c r="A336" t="s">
        <v>384</v>
      </c>
      <c r="B336">
        <v>45799</v>
      </c>
      <c r="C336" t="s">
        <v>18</v>
      </c>
      <c r="D336">
        <v>7</v>
      </c>
      <c r="E336" s="1">
        <v>1890</v>
      </c>
      <c r="F336" s="2">
        <v>0.05</v>
      </c>
      <c r="G336" s="1">
        <v>12568.5</v>
      </c>
      <c r="H336" s="1">
        <v>8599.5</v>
      </c>
      <c r="I336" s="1">
        <v>3969</v>
      </c>
      <c r="J336" t="s">
        <v>23</v>
      </c>
      <c r="K336" t="s">
        <v>24</v>
      </c>
      <c r="L336" t="s">
        <v>16</v>
      </c>
    </row>
    <row r="337" spans="1:12" x14ac:dyDescent="0.3">
      <c r="A337" t="s">
        <v>385</v>
      </c>
      <c r="B337">
        <v>45828</v>
      </c>
      <c r="C337" t="s">
        <v>56</v>
      </c>
      <c r="D337">
        <v>3</v>
      </c>
      <c r="E337" s="1">
        <v>9800</v>
      </c>
      <c r="F337" s="2">
        <v>0.05</v>
      </c>
      <c r="G337" s="1">
        <v>27930</v>
      </c>
      <c r="H337" s="1">
        <v>19110</v>
      </c>
      <c r="I337" s="1">
        <v>8820</v>
      </c>
      <c r="J337" t="s">
        <v>27</v>
      </c>
      <c r="K337" t="s">
        <v>52</v>
      </c>
      <c r="L337" t="s">
        <v>16</v>
      </c>
    </row>
    <row r="338" spans="1:12" x14ac:dyDescent="0.3">
      <c r="A338" t="s">
        <v>386</v>
      </c>
      <c r="B338">
        <v>45712</v>
      </c>
      <c r="C338" t="s">
        <v>76</v>
      </c>
      <c r="D338">
        <v>8</v>
      </c>
      <c r="E338" s="1">
        <v>665</v>
      </c>
      <c r="F338" s="2">
        <v>0.05</v>
      </c>
      <c r="G338" s="1">
        <v>5054</v>
      </c>
      <c r="H338" s="1">
        <v>3458</v>
      </c>
      <c r="I338" s="1">
        <v>1596</v>
      </c>
      <c r="J338" t="s">
        <v>14</v>
      </c>
      <c r="K338" t="s">
        <v>47</v>
      </c>
      <c r="L338" t="s">
        <v>16</v>
      </c>
    </row>
    <row r="339" spans="1:12" x14ac:dyDescent="0.3">
      <c r="A339" t="s">
        <v>387</v>
      </c>
      <c r="B339">
        <v>46175</v>
      </c>
      <c r="C339" t="s">
        <v>56</v>
      </c>
      <c r="D339">
        <v>8</v>
      </c>
      <c r="E339" s="1">
        <v>10290</v>
      </c>
      <c r="F339" s="2">
        <v>0.15</v>
      </c>
      <c r="G339" s="1">
        <v>69972</v>
      </c>
      <c r="H339" s="1">
        <v>53508</v>
      </c>
      <c r="I339" s="1">
        <v>16464</v>
      </c>
      <c r="J339" t="s">
        <v>23</v>
      </c>
      <c r="K339" t="s">
        <v>72</v>
      </c>
      <c r="L339" t="s">
        <v>21</v>
      </c>
    </row>
    <row r="340" spans="1:12" x14ac:dyDescent="0.3">
      <c r="A340" t="s">
        <v>388</v>
      </c>
      <c r="B340">
        <v>45742</v>
      </c>
      <c r="C340" t="s">
        <v>18</v>
      </c>
      <c r="D340">
        <v>4</v>
      </c>
      <c r="E340" s="1">
        <v>1710</v>
      </c>
      <c r="F340" s="2">
        <v>0.1</v>
      </c>
      <c r="G340" s="1">
        <v>6156</v>
      </c>
      <c r="H340" s="1">
        <v>4446</v>
      </c>
      <c r="I340" s="1">
        <v>1710</v>
      </c>
      <c r="J340" t="s">
        <v>19</v>
      </c>
      <c r="K340" t="s">
        <v>34</v>
      </c>
      <c r="L340" t="s">
        <v>21</v>
      </c>
    </row>
    <row r="341" spans="1:12" x14ac:dyDescent="0.3">
      <c r="A341" t="s">
        <v>389</v>
      </c>
      <c r="B341">
        <v>45953</v>
      </c>
      <c r="C341" t="s">
        <v>88</v>
      </c>
      <c r="D341">
        <v>8</v>
      </c>
      <c r="E341" s="1">
        <v>1575</v>
      </c>
      <c r="F341" s="2">
        <v>0.2</v>
      </c>
      <c r="G341" s="1">
        <v>10080</v>
      </c>
      <c r="H341" s="1">
        <v>8190</v>
      </c>
      <c r="I341" s="1">
        <v>1890</v>
      </c>
      <c r="J341" t="s">
        <v>19</v>
      </c>
      <c r="K341" t="s">
        <v>70</v>
      </c>
      <c r="L341" t="s">
        <v>25</v>
      </c>
    </row>
    <row r="342" spans="1:12" x14ac:dyDescent="0.3">
      <c r="A342" t="s">
        <v>390</v>
      </c>
      <c r="B342">
        <v>46033</v>
      </c>
      <c r="C342" t="s">
        <v>51</v>
      </c>
      <c r="D342">
        <v>8</v>
      </c>
      <c r="E342" s="1">
        <v>2470</v>
      </c>
      <c r="F342" s="2">
        <v>0.2</v>
      </c>
      <c r="G342" s="1">
        <v>15808</v>
      </c>
      <c r="H342" s="1">
        <v>12844</v>
      </c>
      <c r="I342" s="1">
        <v>2964</v>
      </c>
      <c r="J342" t="s">
        <v>14</v>
      </c>
      <c r="K342" t="s">
        <v>47</v>
      </c>
      <c r="L342" t="s">
        <v>21</v>
      </c>
    </row>
    <row r="343" spans="1:12" x14ac:dyDescent="0.3">
      <c r="A343" t="s">
        <v>391</v>
      </c>
      <c r="B343">
        <v>45911</v>
      </c>
      <c r="C343" t="s">
        <v>60</v>
      </c>
      <c r="D343">
        <v>8</v>
      </c>
      <c r="E343" s="1">
        <v>2090</v>
      </c>
      <c r="F343" s="2">
        <v>0.1</v>
      </c>
      <c r="G343" s="1">
        <v>15048</v>
      </c>
      <c r="H343" s="1">
        <v>10868</v>
      </c>
      <c r="I343" s="1">
        <v>4180</v>
      </c>
      <c r="J343" t="s">
        <v>27</v>
      </c>
      <c r="K343" t="s">
        <v>49</v>
      </c>
      <c r="L343" t="s">
        <v>25</v>
      </c>
    </row>
    <row r="344" spans="1:12" x14ac:dyDescent="0.3">
      <c r="A344" t="s">
        <v>392</v>
      </c>
      <c r="B344">
        <v>45778</v>
      </c>
      <c r="C344" t="s">
        <v>39</v>
      </c>
      <c r="D344">
        <v>6</v>
      </c>
      <c r="E344" s="1">
        <v>12500</v>
      </c>
      <c r="F344" s="2">
        <v>0.2</v>
      </c>
      <c r="G344" s="1">
        <v>60000</v>
      </c>
      <c r="H344" s="1">
        <v>48750</v>
      </c>
      <c r="I344" s="1">
        <v>11250</v>
      </c>
      <c r="J344" t="s">
        <v>23</v>
      </c>
      <c r="K344" t="s">
        <v>24</v>
      </c>
      <c r="L344" t="s">
        <v>16</v>
      </c>
    </row>
    <row r="345" spans="1:12" x14ac:dyDescent="0.3">
      <c r="A345" t="s">
        <v>393</v>
      </c>
      <c r="B345">
        <v>45800</v>
      </c>
      <c r="C345" t="s">
        <v>39</v>
      </c>
      <c r="D345">
        <v>1</v>
      </c>
      <c r="E345" s="1">
        <v>12500</v>
      </c>
      <c r="F345" s="2">
        <v>0.2</v>
      </c>
      <c r="G345" s="1">
        <v>10000</v>
      </c>
      <c r="H345" s="1">
        <v>8125</v>
      </c>
      <c r="I345" s="1">
        <v>1875</v>
      </c>
      <c r="J345" t="s">
        <v>27</v>
      </c>
      <c r="K345" t="s">
        <v>31</v>
      </c>
      <c r="L345" t="s">
        <v>16</v>
      </c>
    </row>
    <row r="346" spans="1:12" x14ac:dyDescent="0.3">
      <c r="A346" t="s">
        <v>394</v>
      </c>
      <c r="B346">
        <v>45830</v>
      </c>
      <c r="C346" t="s">
        <v>76</v>
      </c>
      <c r="D346">
        <v>5</v>
      </c>
      <c r="E346" s="1">
        <v>700</v>
      </c>
      <c r="F346" s="2">
        <v>0.2</v>
      </c>
      <c r="G346" s="1">
        <v>2800</v>
      </c>
      <c r="H346" s="1">
        <v>2275</v>
      </c>
      <c r="I346" s="1">
        <v>525</v>
      </c>
      <c r="J346" t="s">
        <v>27</v>
      </c>
      <c r="K346" t="s">
        <v>49</v>
      </c>
      <c r="L346" t="s">
        <v>21</v>
      </c>
    </row>
    <row r="347" spans="1:12" x14ac:dyDescent="0.3">
      <c r="A347" t="s">
        <v>395</v>
      </c>
      <c r="B347">
        <v>46079</v>
      </c>
      <c r="C347" t="s">
        <v>13</v>
      </c>
      <c r="D347">
        <v>3</v>
      </c>
      <c r="E347" s="1">
        <v>52000</v>
      </c>
      <c r="F347" s="2">
        <v>0.05</v>
      </c>
      <c r="G347" s="1">
        <v>148200</v>
      </c>
      <c r="H347" s="1">
        <v>101400</v>
      </c>
      <c r="I347" s="1">
        <v>46800</v>
      </c>
      <c r="J347" t="s">
        <v>14</v>
      </c>
      <c r="K347" t="s">
        <v>40</v>
      </c>
      <c r="L347" t="s">
        <v>16</v>
      </c>
    </row>
    <row r="348" spans="1:12" x14ac:dyDescent="0.3">
      <c r="A348" t="s">
        <v>396</v>
      </c>
      <c r="B348">
        <v>45987</v>
      </c>
      <c r="C348" t="s">
        <v>39</v>
      </c>
      <c r="D348">
        <v>8</v>
      </c>
      <c r="E348" s="1">
        <v>13125</v>
      </c>
      <c r="F348" s="2">
        <v>0.05</v>
      </c>
      <c r="G348" s="1">
        <v>99750</v>
      </c>
      <c r="H348" s="1">
        <v>68250</v>
      </c>
      <c r="I348" s="1">
        <v>31500</v>
      </c>
      <c r="J348" t="s">
        <v>27</v>
      </c>
      <c r="K348" t="s">
        <v>52</v>
      </c>
      <c r="L348" t="s">
        <v>25</v>
      </c>
    </row>
    <row r="349" spans="1:12" x14ac:dyDescent="0.3">
      <c r="A349" t="s">
        <v>397</v>
      </c>
      <c r="B349">
        <v>46120</v>
      </c>
      <c r="C349" t="s">
        <v>30</v>
      </c>
      <c r="D349">
        <v>7</v>
      </c>
      <c r="E349" s="1">
        <v>617.5</v>
      </c>
      <c r="F349" s="2">
        <v>0.2</v>
      </c>
      <c r="G349" s="1">
        <v>3458</v>
      </c>
      <c r="H349" s="1">
        <v>2809.62</v>
      </c>
      <c r="I349" s="1">
        <v>648.38</v>
      </c>
      <c r="J349" t="s">
        <v>27</v>
      </c>
      <c r="K349" t="s">
        <v>31</v>
      </c>
      <c r="L349" t="s">
        <v>25</v>
      </c>
    </row>
    <row r="350" spans="1:12" x14ac:dyDescent="0.3">
      <c r="A350" t="s">
        <v>398</v>
      </c>
      <c r="B350">
        <v>46157</v>
      </c>
      <c r="C350" t="s">
        <v>76</v>
      </c>
      <c r="D350">
        <v>2</v>
      </c>
      <c r="E350" s="1">
        <v>665</v>
      </c>
      <c r="F350" s="2">
        <v>0.15</v>
      </c>
      <c r="G350" s="1">
        <v>1130.5</v>
      </c>
      <c r="H350" s="1">
        <v>864.5</v>
      </c>
      <c r="I350" s="1">
        <v>266</v>
      </c>
      <c r="J350" t="s">
        <v>27</v>
      </c>
      <c r="K350" t="s">
        <v>49</v>
      </c>
      <c r="L350" t="s">
        <v>16</v>
      </c>
    </row>
    <row r="351" spans="1:12" x14ac:dyDescent="0.3">
      <c r="A351" t="s">
        <v>399</v>
      </c>
      <c r="B351">
        <v>46065</v>
      </c>
      <c r="C351" t="s">
        <v>39</v>
      </c>
      <c r="D351">
        <v>4</v>
      </c>
      <c r="E351" s="1">
        <v>13125</v>
      </c>
      <c r="F351" s="2">
        <v>0.15</v>
      </c>
      <c r="G351" s="1">
        <v>44625</v>
      </c>
      <c r="H351" s="1">
        <v>34125</v>
      </c>
      <c r="I351" s="1">
        <v>10500</v>
      </c>
      <c r="J351" t="s">
        <v>27</v>
      </c>
      <c r="K351" t="s">
        <v>31</v>
      </c>
      <c r="L351" t="s">
        <v>25</v>
      </c>
    </row>
    <row r="352" spans="1:12" x14ac:dyDescent="0.3">
      <c r="A352" t="s">
        <v>400</v>
      </c>
      <c r="B352">
        <v>46003</v>
      </c>
      <c r="C352" t="s">
        <v>687</v>
      </c>
      <c r="D352">
        <v>8</v>
      </c>
      <c r="E352" s="1">
        <v>2600</v>
      </c>
      <c r="F352" s="2">
        <v>0.1</v>
      </c>
      <c r="G352" s="1">
        <v>18720</v>
      </c>
      <c r="H352" s="1">
        <v>13520</v>
      </c>
      <c r="I352" s="1">
        <v>5200</v>
      </c>
      <c r="J352" t="s">
        <v>19</v>
      </c>
      <c r="K352" t="s">
        <v>70</v>
      </c>
      <c r="L352" t="s">
        <v>21</v>
      </c>
    </row>
    <row r="353" spans="1:12" x14ac:dyDescent="0.3">
      <c r="A353" t="s">
        <v>401</v>
      </c>
      <c r="B353">
        <v>46128</v>
      </c>
      <c r="C353" t="s">
        <v>13</v>
      </c>
      <c r="D353">
        <v>3</v>
      </c>
      <c r="E353" s="1">
        <v>49400</v>
      </c>
      <c r="F353" s="2">
        <v>0.15</v>
      </c>
      <c r="G353" s="1">
        <v>125970</v>
      </c>
      <c r="H353" s="1">
        <v>96330</v>
      </c>
      <c r="I353" s="1">
        <v>29640</v>
      </c>
      <c r="J353" t="s">
        <v>23</v>
      </c>
      <c r="K353" t="s">
        <v>61</v>
      </c>
      <c r="L353" t="s">
        <v>25</v>
      </c>
    </row>
    <row r="354" spans="1:12" x14ac:dyDescent="0.3">
      <c r="A354" t="s">
        <v>402</v>
      </c>
      <c r="B354">
        <v>45865</v>
      </c>
      <c r="C354" t="s">
        <v>88</v>
      </c>
      <c r="D354">
        <v>3</v>
      </c>
      <c r="E354" s="1">
        <v>1500</v>
      </c>
      <c r="F354" s="2">
        <v>0.1</v>
      </c>
      <c r="G354" s="1">
        <v>4050</v>
      </c>
      <c r="H354" s="1">
        <v>2925</v>
      </c>
      <c r="I354" s="1">
        <v>1125</v>
      </c>
      <c r="J354" t="s">
        <v>19</v>
      </c>
      <c r="K354" t="s">
        <v>34</v>
      </c>
      <c r="L354" t="s">
        <v>25</v>
      </c>
    </row>
    <row r="355" spans="1:12" x14ac:dyDescent="0.3">
      <c r="A355" t="s">
        <v>403</v>
      </c>
      <c r="B355">
        <v>45742</v>
      </c>
      <c r="C355" t="s">
        <v>76</v>
      </c>
      <c r="D355">
        <v>1</v>
      </c>
      <c r="E355" s="1">
        <v>700</v>
      </c>
      <c r="F355" s="2">
        <v>0.15</v>
      </c>
      <c r="G355" s="1">
        <v>595</v>
      </c>
      <c r="H355" s="1">
        <v>455</v>
      </c>
      <c r="I355" s="1">
        <v>140</v>
      </c>
      <c r="J355" t="s">
        <v>27</v>
      </c>
      <c r="K355" t="s">
        <v>28</v>
      </c>
      <c r="L355" t="s">
        <v>25</v>
      </c>
    </row>
    <row r="356" spans="1:12" x14ac:dyDescent="0.3">
      <c r="A356" t="s">
        <v>404</v>
      </c>
      <c r="B356">
        <v>45751</v>
      </c>
      <c r="C356" t="s">
        <v>30</v>
      </c>
      <c r="D356">
        <v>4</v>
      </c>
      <c r="E356" s="1">
        <v>617.5</v>
      </c>
      <c r="F356" s="2">
        <v>0.15</v>
      </c>
      <c r="G356" s="1">
        <v>2099.5</v>
      </c>
      <c r="H356" s="1">
        <v>1605.5</v>
      </c>
      <c r="I356" s="1">
        <v>494</v>
      </c>
      <c r="J356" t="s">
        <v>19</v>
      </c>
      <c r="K356" t="s">
        <v>20</v>
      </c>
      <c r="L356" t="s">
        <v>16</v>
      </c>
    </row>
    <row r="357" spans="1:12" x14ac:dyDescent="0.3">
      <c r="A357" t="s">
        <v>405</v>
      </c>
      <c r="B357">
        <v>45889</v>
      </c>
      <c r="C357" t="s">
        <v>51</v>
      </c>
      <c r="D357">
        <v>1</v>
      </c>
      <c r="E357" s="1">
        <v>2730</v>
      </c>
      <c r="F357" s="2">
        <v>0</v>
      </c>
      <c r="G357" s="1">
        <v>2730</v>
      </c>
      <c r="H357" s="1">
        <v>1774.5</v>
      </c>
      <c r="I357" s="1">
        <v>955.5</v>
      </c>
      <c r="J357" t="s">
        <v>27</v>
      </c>
      <c r="K357" t="s">
        <v>49</v>
      </c>
      <c r="L357" t="s">
        <v>25</v>
      </c>
    </row>
    <row r="358" spans="1:12" x14ac:dyDescent="0.3">
      <c r="A358" t="s">
        <v>406</v>
      </c>
      <c r="B358">
        <v>45793</v>
      </c>
      <c r="C358" t="s">
        <v>56</v>
      </c>
      <c r="D358">
        <v>4</v>
      </c>
      <c r="E358" s="1">
        <v>9310</v>
      </c>
      <c r="F358" s="2">
        <v>0.15</v>
      </c>
      <c r="G358" s="1">
        <v>31654</v>
      </c>
      <c r="H358" s="1">
        <v>24206</v>
      </c>
      <c r="I358" s="1">
        <v>7448</v>
      </c>
      <c r="J358" t="s">
        <v>19</v>
      </c>
      <c r="K358" t="s">
        <v>70</v>
      </c>
      <c r="L358" t="s">
        <v>21</v>
      </c>
    </row>
    <row r="359" spans="1:12" x14ac:dyDescent="0.3">
      <c r="A359" t="s">
        <v>407</v>
      </c>
      <c r="B359">
        <v>45978</v>
      </c>
      <c r="C359" t="s">
        <v>76</v>
      </c>
      <c r="D359">
        <v>3</v>
      </c>
      <c r="E359" s="1">
        <v>700</v>
      </c>
      <c r="F359" s="2">
        <v>0.15</v>
      </c>
      <c r="G359" s="1">
        <v>1785</v>
      </c>
      <c r="H359" s="1">
        <v>1365</v>
      </c>
      <c r="I359" s="1">
        <v>420</v>
      </c>
      <c r="J359" t="s">
        <v>14</v>
      </c>
      <c r="K359" t="s">
        <v>40</v>
      </c>
      <c r="L359" t="s">
        <v>21</v>
      </c>
    </row>
    <row r="360" spans="1:12" x14ac:dyDescent="0.3">
      <c r="A360" t="s">
        <v>408</v>
      </c>
      <c r="B360">
        <v>46201</v>
      </c>
      <c r="C360" t="s">
        <v>18</v>
      </c>
      <c r="D360">
        <v>3</v>
      </c>
      <c r="E360" s="1">
        <v>1710</v>
      </c>
      <c r="F360" s="2">
        <v>0.15</v>
      </c>
      <c r="G360" s="1">
        <v>4360.5</v>
      </c>
      <c r="H360" s="1">
        <v>3334.5</v>
      </c>
      <c r="I360" s="1">
        <v>1026</v>
      </c>
      <c r="J360" t="s">
        <v>27</v>
      </c>
      <c r="K360" t="s">
        <v>28</v>
      </c>
      <c r="L360" t="s">
        <v>16</v>
      </c>
    </row>
    <row r="361" spans="1:12" x14ac:dyDescent="0.3">
      <c r="A361" t="s">
        <v>409</v>
      </c>
      <c r="B361">
        <v>45813</v>
      </c>
      <c r="C361" t="s">
        <v>43</v>
      </c>
      <c r="D361">
        <v>4</v>
      </c>
      <c r="E361" s="1">
        <v>3360</v>
      </c>
      <c r="F361" s="2">
        <v>0</v>
      </c>
      <c r="G361" s="1">
        <v>13440</v>
      </c>
      <c r="H361" s="1">
        <v>8736</v>
      </c>
      <c r="I361" s="1">
        <v>4704</v>
      </c>
      <c r="J361" t="s">
        <v>19</v>
      </c>
      <c r="K361" t="s">
        <v>20</v>
      </c>
      <c r="L361" t="s">
        <v>21</v>
      </c>
    </row>
    <row r="362" spans="1:12" x14ac:dyDescent="0.3">
      <c r="A362" t="s">
        <v>410</v>
      </c>
      <c r="B362">
        <v>46051</v>
      </c>
      <c r="C362" t="s">
        <v>76</v>
      </c>
      <c r="D362">
        <v>6</v>
      </c>
      <c r="E362" s="1">
        <v>735</v>
      </c>
      <c r="F362" s="2">
        <v>0.05</v>
      </c>
      <c r="G362" s="1">
        <v>4189.5</v>
      </c>
      <c r="H362" s="1">
        <v>2866.5</v>
      </c>
      <c r="I362" s="1">
        <v>1323</v>
      </c>
      <c r="J362" t="s">
        <v>14</v>
      </c>
      <c r="K362" t="s">
        <v>36</v>
      </c>
      <c r="L362" t="s">
        <v>16</v>
      </c>
    </row>
    <row r="363" spans="1:12" x14ac:dyDescent="0.3">
      <c r="A363" t="s">
        <v>411</v>
      </c>
      <c r="B363">
        <v>45744</v>
      </c>
      <c r="C363" t="s">
        <v>39</v>
      </c>
      <c r="D363">
        <v>1</v>
      </c>
      <c r="E363" s="1">
        <v>12500</v>
      </c>
      <c r="F363" s="2">
        <v>0.1</v>
      </c>
      <c r="G363" s="1">
        <v>11250</v>
      </c>
      <c r="H363" s="1">
        <v>8125</v>
      </c>
      <c r="I363" s="1">
        <v>3125</v>
      </c>
      <c r="J363" t="s">
        <v>14</v>
      </c>
      <c r="K363" t="s">
        <v>40</v>
      </c>
      <c r="L363" t="s">
        <v>16</v>
      </c>
    </row>
    <row r="364" spans="1:12" x14ac:dyDescent="0.3">
      <c r="A364" t="s">
        <v>412</v>
      </c>
      <c r="B364">
        <v>46059</v>
      </c>
      <c r="C364" t="s">
        <v>60</v>
      </c>
      <c r="D364">
        <v>4</v>
      </c>
      <c r="E364" s="1">
        <v>2090</v>
      </c>
      <c r="F364" s="2">
        <v>0.15</v>
      </c>
      <c r="G364" s="1">
        <v>7106</v>
      </c>
      <c r="H364" s="1">
        <v>5434</v>
      </c>
      <c r="I364" s="1">
        <v>1672</v>
      </c>
      <c r="J364" t="s">
        <v>23</v>
      </c>
      <c r="K364" t="s">
        <v>61</v>
      </c>
      <c r="L364" t="s">
        <v>21</v>
      </c>
    </row>
    <row r="365" spans="1:12" x14ac:dyDescent="0.3">
      <c r="A365" t="s">
        <v>413</v>
      </c>
      <c r="B365">
        <v>46169</v>
      </c>
      <c r="C365" t="s">
        <v>18</v>
      </c>
      <c r="D365">
        <v>1</v>
      </c>
      <c r="E365" s="1">
        <v>1710</v>
      </c>
      <c r="F365" s="2">
        <v>0.1</v>
      </c>
      <c r="G365" s="1">
        <v>1539</v>
      </c>
      <c r="H365" s="1">
        <v>1111.5</v>
      </c>
      <c r="I365" s="1">
        <v>427.5</v>
      </c>
      <c r="J365" t="s">
        <v>27</v>
      </c>
      <c r="K365" t="s">
        <v>28</v>
      </c>
      <c r="L365" t="s">
        <v>25</v>
      </c>
    </row>
    <row r="366" spans="1:12" x14ac:dyDescent="0.3">
      <c r="A366" t="s">
        <v>414</v>
      </c>
      <c r="B366">
        <v>46088</v>
      </c>
      <c r="C366" t="s">
        <v>76</v>
      </c>
      <c r="D366">
        <v>8</v>
      </c>
      <c r="E366" s="1">
        <v>700</v>
      </c>
      <c r="F366" s="2">
        <v>0</v>
      </c>
      <c r="G366" s="1">
        <v>5600</v>
      </c>
      <c r="H366" s="1">
        <v>3640</v>
      </c>
      <c r="I366" s="1">
        <v>1960</v>
      </c>
      <c r="J366" t="s">
        <v>19</v>
      </c>
      <c r="K366" t="s">
        <v>70</v>
      </c>
      <c r="L366" t="s">
        <v>21</v>
      </c>
    </row>
    <row r="367" spans="1:12" x14ac:dyDescent="0.3">
      <c r="A367" t="s">
        <v>415</v>
      </c>
      <c r="B367">
        <v>45926</v>
      </c>
      <c r="C367" t="s">
        <v>39</v>
      </c>
      <c r="D367">
        <v>1</v>
      </c>
      <c r="E367" s="1">
        <v>11875</v>
      </c>
      <c r="F367" s="2">
        <v>0.15</v>
      </c>
      <c r="G367" s="1">
        <v>10093.75</v>
      </c>
      <c r="H367" s="1">
        <v>7718.75</v>
      </c>
      <c r="I367" s="1">
        <v>2375</v>
      </c>
      <c r="J367" t="s">
        <v>27</v>
      </c>
      <c r="K367" t="s">
        <v>52</v>
      </c>
      <c r="L367" t="s">
        <v>25</v>
      </c>
    </row>
    <row r="368" spans="1:12" x14ac:dyDescent="0.3">
      <c r="A368" t="s">
        <v>416</v>
      </c>
      <c r="B368">
        <v>46069</v>
      </c>
      <c r="C368" t="s">
        <v>30</v>
      </c>
      <c r="D368">
        <v>5</v>
      </c>
      <c r="E368" s="1">
        <v>650</v>
      </c>
      <c r="F368" s="2">
        <v>0</v>
      </c>
      <c r="G368" s="1">
        <v>3250</v>
      </c>
      <c r="H368" s="1">
        <v>2112.5</v>
      </c>
      <c r="I368" s="1">
        <v>1137.5</v>
      </c>
      <c r="J368" t="s">
        <v>27</v>
      </c>
      <c r="K368" t="s">
        <v>49</v>
      </c>
      <c r="L368" t="s">
        <v>16</v>
      </c>
    </row>
    <row r="369" spans="1:12" x14ac:dyDescent="0.3">
      <c r="A369" t="s">
        <v>417</v>
      </c>
      <c r="B369">
        <v>45866</v>
      </c>
      <c r="C369" t="s">
        <v>88</v>
      </c>
      <c r="D369">
        <v>7</v>
      </c>
      <c r="E369" s="1">
        <v>1500</v>
      </c>
      <c r="F369" s="2">
        <v>0.2</v>
      </c>
      <c r="G369" s="1">
        <v>8400</v>
      </c>
      <c r="H369" s="1">
        <v>6825</v>
      </c>
      <c r="I369" s="1">
        <v>1575</v>
      </c>
      <c r="J369" t="s">
        <v>19</v>
      </c>
      <c r="K369" t="s">
        <v>34</v>
      </c>
      <c r="L369" t="s">
        <v>16</v>
      </c>
    </row>
    <row r="370" spans="1:12" x14ac:dyDescent="0.3">
      <c r="A370" t="s">
        <v>418</v>
      </c>
      <c r="B370">
        <v>46105</v>
      </c>
      <c r="C370" t="s">
        <v>39</v>
      </c>
      <c r="D370">
        <v>4</v>
      </c>
      <c r="E370" s="1">
        <v>11875</v>
      </c>
      <c r="F370" s="2">
        <v>0</v>
      </c>
      <c r="G370" s="1">
        <v>47500</v>
      </c>
      <c r="H370" s="1">
        <v>30875</v>
      </c>
      <c r="I370" s="1">
        <v>16625</v>
      </c>
      <c r="J370" t="s">
        <v>23</v>
      </c>
      <c r="K370" t="s">
        <v>61</v>
      </c>
      <c r="L370" t="s">
        <v>25</v>
      </c>
    </row>
    <row r="371" spans="1:12" x14ac:dyDescent="0.3">
      <c r="A371" t="s">
        <v>419</v>
      </c>
      <c r="B371">
        <v>45714</v>
      </c>
      <c r="C371" t="s">
        <v>60</v>
      </c>
      <c r="D371">
        <v>2</v>
      </c>
      <c r="E371" s="1">
        <v>2200</v>
      </c>
      <c r="F371" s="2">
        <v>0</v>
      </c>
      <c r="G371" s="1">
        <v>4400</v>
      </c>
      <c r="H371" s="1">
        <v>2860</v>
      </c>
      <c r="I371" s="1">
        <v>1540</v>
      </c>
      <c r="J371" t="s">
        <v>14</v>
      </c>
      <c r="K371" t="s">
        <v>15</v>
      </c>
      <c r="L371" t="s">
        <v>21</v>
      </c>
    </row>
    <row r="372" spans="1:12" x14ac:dyDescent="0.3">
      <c r="A372" t="s">
        <v>420</v>
      </c>
      <c r="B372">
        <v>46166</v>
      </c>
      <c r="C372" t="s">
        <v>76</v>
      </c>
      <c r="D372">
        <v>3</v>
      </c>
      <c r="E372" s="1">
        <v>700</v>
      </c>
      <c r="F372" s="2">
        <v>0.1</v>
      </c>
      <c r="G372" s="1">
        <v>1890</v>
      </c>
      <c r="H372" s="1">
        <v>1365</v>
      </c>
      <c r="I372" s="1">
        <v>525</v>
      </c>
      <c r="J372" t="s">
        <v>299</v>
      </c>
      <c r="K372" t="s">
        <v>36</v>
      </c>
      <c r="L372" t="s">
        <v>16</v>
      </c>
    </row>
    <row r="373" spans="1:12" x14ac:dyDescent="0.3">
      <c r="A373" t="s">
        <v>421</v>
      </c>
      <c r="B373">
        <v>45778</v>
      </c>
      <c r="C373" t="s">
        <v>13</v>
      </c>
      <c r="D373">
        <v>7</v>
      </c>
      <c r="E373" s="1">
        <v>52000</v>
      </c>
      <c r="F373" s="2">
        <v>0.1</v>
      </c>
      <c r="G373" s="1">
        <v>327600</v>
      </c>
      <c r="H373" s="1">
        <v>236600</v>
      </c>
      <c r="I373" s="1">
        <v>91000</v>
      </c>
      <c r="J373" t="s">
        <v>19</v>
      </c>
      <c r="K373" t="s">
        <v>34</v>
      </c>
      <c r="L373" t="s">
        <v>16</v>
      </c>
    </row>
    <row r="374" spans="1:12" x14ac:dyDescent="0.3">
      <c r="A374" t="s">
        <v>422</v>
      </c>
      <c r="B374">
        <v>45736</v>
      </c>
      <c r="C374" t="s">
        <v>56</v>
      </c>
      <c r="D374">
        <v>6</v>
      </c>
      <c r="E374" s="1">
        <v>10290</v>
      </c>
      <c r="F374" s="2">
        <v>0</v>
      </c>
      <c r="G374" s="1">
        <v>61740</v>
      </c>
      <c r="H374" s="1">
        <v>40131</v>
      </c>
      <c r="I374" s="1">
        <v>21609</v>
      </c>
      <c r="J374" t="s">
        <v>23</v>
      </c>
      <c r="K374" t="s">
        <v>24</v>
      </c>
      <c r="L374" t="s">
        <v>25</v>
      </c>
    </row>
    <row r="375" spans="1:12" x14ac:dyDescent="0.3">
      <c r="A375" t="s">
        <v>423</v>
      </c>
      <c r="B375">
        <v>45819</v>
      </c>
      <c r="C375" t="s">
        <v>60</v>
      </c>
      <c r="D375">
        <v>2</v>
      </c>
      <c r="E375" s="1">
        <v>2090</v>
      </c>
      <c r="F375" s="2">
        <v>0.05</v>
      </c>
      <c r="G375" s="1">
        <v>3971</v>
      </c>
      <c r="H375" s="1">
        <v>2717</v>
      </c>
      <c r="I375" s="1">
        <v>1254</v>
      </c>
      <c r="J375" t="s">
        <v>19</v>
      </c>
      <c r="K375" t="s">
        <v>70</v>
      </c>
      <c r="L375" t="s">
        <v>21</v>
      </c>
    </row>
    <row r="376" spans="1:12" x14ac:dyDescent="0.3">
      <c r="A376" t="s">
        <v>424</v>
      </c>
      <c r="B376">
        <v>45908</v>
      </c>
      <c r="C376" t="s">
        <v>13</v>
      </c>
      <c r="D376">
        <v>6</v>
      </c>
      <c r="E376" s="1">
        <v>54600</v>
      </c>
      <c r="F376" s="2">
        <v>0.15</v>
      </c>
      <c r="G376" s="1">
        <v>278460</v>
      </c>
      <c r="H376" s="1">
        <v>212940</v>
      </c>
      <c r="I376" s="1">
        <v>65520</v>
      </c>
      <c r="J376" t="s">
        <v>14</v>
      </c>
      <c r="K376" t="s">
        <v>40</v>
      </c>
      <c r="L376" t="s">
        <v>21</v>
      </c>
    </row>
    <row r="377" spans="1:12" x14ac:dyDescent="0.3">
      <c r="A377" t="s">
        <v>425</v>
      </c>
      <c r="B377">
        <v>46087</v>
      </c>
      <c r="C377" t="s">
        <v>39</v>
      </c>
      <c r="D377">
        <v>4</v>
      </c>
      <c r="E377" s="1">
        <v>12500</v>
      </c>
      <c r="F377" s="2">
        <v>0.15</v>
      </c>
      <c r="G377" s="1">
        <v>42500</v>
      </c>
      <c r="H377" s="1">
        <v>32500</v>
      </c>
      <c r="I377" s="1">
        <v>10000</v>
      </c>
      <c r="J377" t="s">
        <v>27</v>
      </c>
      <c r="K377" t="s">
        <v>31</v>
      </c>
      <c r="L377" t="s">
        <v>21</v>
      </c>
    </row>
    <row r="378" spans="1:12" x14ac:dyDescent="0.3">
      <c r="A378" t="s">
        <v>426</v>
      </c>
      <c r="B378">
        <v>46039</v>
      </c>
      <c r="C378" t="s">
        <v>30</v>
      </c>
      <c r="D378">
        <v>3</v>
      </c>
      <c r="E378" s="1">
        <v>617.5</v>
      </c>
      <c r="F378" s="2">
        <v>0.05</v>
      </c>
      <c r="G378" s="1">
        <v>1759.88</v>
      </c>
      <c r="H378" s="1">
        <v>1204.1199999999999</v>
      </c>
      <c r="I378" s="1">
        <v>555.76</v>
      </c>
      <c r="J378" t="s">
        <v>19</v>
      </c>
      <c r="K378" t="s">
        <v>79</v>
      </c>
      <c r="L378" t="s">
        <v>21</v>
      </c>
    </row>
    <row r="379" spans="1:12" x14ac:dyDescent="0.3">
      <c r="A379" t="s">
        <v>427</v>
      </c>
      <c r="B379">
        <v>46134</v>
      </c>
      <c r="C379" t="s">
        <v>60</v>
      </c>
      <c r="D379">
        <v>6</v>
      </c>
      <c r="E379" s="1">
        <v>2200</v>
      </c>
      <c r="F379" s="2">
        <v>0</v>
      </c>
      <c r="G379" s="1">
        <v>13200</v>
      </c>
      <c r="H379" s="1">
        <v>8580</v>
      </c>
      <c r="I379" s="1">
        <v>4620</v>
      </c>
      <c r="J379" t="s">
        <v>23</v>
      </c>
      <c r="K379" t="s">
        <v>61</v>
      </c>
      <c r="L379" t="s">
        <v>25</v>
      </c>
    </row>
    <row r="380" spans="1:12" x14ac:dyDescent="0.3">
      <c r="A380" t="s">
        <v>428</v>
      </c>
      <c r="B380">
        <v>45863</v>
      </c>
      <c r="C380" t="s">
        <v>60</v>
      </c>
      <c r="D380">
        <v>4</v>
      </c>
      <c r="E380" s="1">
        <v>2200</v>
      </c>
      <c r="F380" s="2">
        <v>0.15</v>
      </c>
      <c r="G380" s="1">
        <v>7480</v>
      </c>
      <c r="H380" s="1">
        <v>5720</v>
      </c>
      <c r="I380" s="1">
        <v>1760</v>
      </c>
      <c r="J380" t="s">
        <v>27</v>
      </c>
      <c r="K380" t="s">
        <v>52</v>
      </c>
      <c r="L380" t="s">
        <v>21</v>
      </c>
    </row>
    <row r="381" spans="1:12" x14ac:dyDescent="0.3">
      <c r="A381" t="s">
        <v>429</v>
      </c>
      <c r="B381">
        <v>45909</v>
      </c>
      <c r="C381" t="s">
        <v>88</v>
      </c>
      <c r="D381">
        <v>7</v>
      </c>
      <c r="E381" s="1">
        <v>1425</v>
      </c>
      <c r="F381" s="2">
        <v>0</v>
      </c>
      <c r="G381" s="1">
        <v>9975</v>
      </c>
      <c r="H381" s="1">
        <v>6483.75</v>
      </c>
      <c r="I381" s="1">
        <v>3491.25</v>
      </c>
      <c r="J381" t="s">
        <v>14</v>
      </c>
      <c r="K381" t="s">
        <v>36</v>
      </c>
      <c r="L381" t="s">
        <v>16</v>
      </c>
    </row>
    <row r="382" spans="1:12" x14ac:dyDescent="0.3">
      <c r="A382" t="s">
        <v>430</v>
      </c>
      <c r="B382">
        <v>45667</v>
      </c>
      <c r="C382" t="s">
        <v>76</v>
      </c>
      <c r="D382">
        <v>7</v>
      </c>
      <c r="E382" s="1">
        <v>665</v>
      </c>
      <c r="F382" s="2">
        <v>0.1</v>
      </c>
      <c r="G382" s="1">
        <v>4189.5</v>
      </c>
      <c r="H382" s="1">
        <v>3025.75</v>
      </c>
      <c r="I382" s="1">
        <v>1163.75</v>
      </c>
      <c r="J382" t="s">
        <v>19</v>
      </c>
      <c r="K382" t="s">
        <v>20</v>
      </c>
      <c r="L382" t="s">
        <v>16</v>
      </c>
    </row>
    <row r="383" spans="1:12" x14ac:dyDescent="0.3">
      <c r="A383" t="s">
        <v>431</v>
      </c>
      <c r="B383">
        <v>45901</v>
      </c>
      <c r="C383" t="s">
        <v>43</v>
      </c>
      <c r="D383">
        <v>1</v>
      </c>
      <c r="E383" s="1">
        <v>3360</v>
      </c>
      <c r="F383" s="2">
        <v>0.05</v>
      </c>
      <c r="G383" s="1">
        <v>3192</v>
      </c>
      <c r="H383" s="1">
        <v>2184</v>
      </c>
      <c r="I383" s="1">
        <v>1008</v>
      </c>
      <c r="J383" t="s">
        <v>27</v>
      </c>
      <c r="K383" t="s">
        <v>49</v>
      </c>
      <c r="L383" t="s">
        <v>21</v>
      </c>
    </row>
    <row r="384" spans="1:12" x14ac:dyDescent="0.3">
      <c r="A384" t="s">
        <v>432</v>
      </c>
      <c r="B384">
        <v>45895</v>
      </c>
      <c r="C384" t="s">
        <v>51</v>
      </c>
      <c r="D384">
        <v>6</v>
      </c>
      <c r="E384" s="1">
        <v>2730</v>
      </c>
      <c r="F384" s="2">
        <v>0.15</v>
      </c>
      <c r="G384" s="1">
        <v>13923</v>
      </c>
      <c r="H384" s="1">
        <v>10647</v>
      </c>
      <c r="I384" s="1">
        <v>3276</v>
      </c>
      <c r="J384" t="s">
        <v>19</v>
      </c>
      <c r="K384" t="s">
        <v>70</v>
      </c>
      <c r="L384" t="s">
        <v>16</v>
      </c>
    </row>
    <row r="385" spans="1:12" x14ac:dyDescent="0.3">
      <c r="A385" t="s">
        <v>433</v>
      </c>
      <c r="B385">
        <v>45794</v>
      </c>
      <c r="C385" t="s">
        <v>43</v>
      </c>
      <c r="D385">
        <v>1</v>
      </c>
      <c r="E385" s="1">
        <v>3040</v>
      </c>
      <c r="F385" s="2">
        <v>0.15</v>
      </c>
      <c r="G385" s="1">
        <v>2584</v>
      </c>
      <c r="H385" s="1">
        <v>1976</v>
      </c>
      <c r="I385" s="1">
        <v>608</v>
      </c>
      <c r="J385" t="s">
        <v>14</v>
      </c>
      <c r="K385" t="s">
        <v>40</v>
      </c>
      <c r="L385" t="s">
        <v>25</v>
      </c>
    </row>
    <row r="386" spans="1:12" x14ac:dyDescent="0.3">
      <c r="A386" t="s">
        <v>434</v>
      </c>
      <c r="B386">
        <v>45925</v>
      </c>
      <c r="C386" t="s">
        <v>76</v>
      </c>
      <c r="D386">
        <v>6</v>
      </c>
      <c r="E386" s="1">
        <v>735</v>
      </c>
      <c r="F386" s="2">
        <v>0.1</v>
      </c>
      <c r="G386" s="1">
        <v>3969</v>
      </c>
      <c r="H386" s="1">
        <v>2866.5</v>
      </c>
      <c r="I386" s="1">
        <v>1102.5</v>
      </c>
      <c r="J386" t="s">
        <v>23</v>
      </c>
      <c r="K386" t="s">
        <v>66</v>
      </c>
      <c r="L386" t="s">
        <v>21</v>
      </c>
    </row>
    <row r="387" spans="1:12" x14ac:dyDescent="0.3">
      <c r="A387" t="s">
        <v>435</v>
      </c>
      <c r="B387">
        <v>45734</v>
      </c>
      <c r="C387" t="s">
        <v>39</v>
      </c>
      <c r="D387">
        <v>2</v>
      </c>
      <c r="E387" s="1">
        <v>12500</v>
      </c>
      <c r="F387" s="2">
        <v>0.05</v>
      </c>
      <c r="G387" s="1">
        <v>23750</v>
      </c>
      <c r="H387" s="1">
        <v>16250</v>
      </c>
      <c r="I387" s="1">
        <v>7500</v>
      </c>
      <c r="J387" t="s">
        <v>19</v>
      </c>
      <c r="K387" t="s">
        <v>20</v>
      </c>
      <c r="L387" t="s">
        <v>25</v>
      </c>
    </row>
    <row r="388" spans="1:12" x14ac:dyDescent="0.3">
      <c r="A388" t="s">
        <v>436</v>
      </c>
      <c r="B388">
        <v>46135</v>
      </c>
      <c r="C388" t="s">
        <v>76</v>
      </c>
      <c r="D388">
        <v>2</v>
      </c>
      <c r="E388" s="1">
        <v>735</v>
      </c>
      <c r="F388" s="2">
        <v>0.2</v>
      </c>
      <c r="G388" s="1">
        <v>1176</v>
      </c>
      <c r="H388" s="1">
        <v>955.5</v>
      </c>
      <c r="I388" s="1">
        <v>220.5</v>
      </c>
      <c r="J388" t="s">
        <v>27</v>
      </c>
      <c r="K388" t="s">
        <v>28</v>
      </c>
      <c r="L388" t="s">
        <v>25</v>
      </c>
    </row>
    <row r="389" spans="1:12" x14ac:dyDescent="0.3">
      <c r="A389" t="s">
        <v>437</v>
      </c>
      <c r="B389">
        <v>45973</v>
      </c>
      <c r="C389" t="s">
        <v>56</v>
      </c>
      <c r="D389">
        <v>2</v>
      </c>
      <c r="E389" s="1">
        <v>9800</v>
      </c>
      <c r="F389" s="2">
        <v>0</v>
      </c>
      <c r="G389" s="1">
        <v>19600</v>
      </c>
      <c r="H389" s="1">
        <v>12740</v>
      </c>
      <c r="I389" s="1">
        <v>6860</v>
      </c>
      <c r="J389" t="s">
        <v>14</v>
      </c>
      <c r="K389" t="s">
        <v>36</v>
      </c>
      <c r="L389" t="s">
        <v>16</v>
      </c>
    </row>
    <row r="390" spans="1:12" x14ac:dyDescent="0.3">
      <c r="A390" t="s">
        <v>438</v>
      </c>
      <c r="B390">
        <v>45699</v>
      </c>
      <c r="C390" t="s">
        <v>39</v>
      </c>
      <c r="D390">
        <v>3</v>
      </c>
      <c r="E390" s="1">
        <v>12500</v>
      </c>
      <c r="F390" s="2">
        <v>0</v>
      </c>
      <c r="G390" s="1">
        <v>37500</v>
      </c>
      <c r="H390" s="1">
        <v>24375</v>
      </c>
      <c r="I390" s="1">
        <v>13125</v>
      </c>
      <c r="J390" t="s">
        <v>14</v>
      </c>
      <c r="K390" t="s">
        <v>36</v>
      </c>
      <c r="L390" t="s">
        <v>25</v>
      </c>
    </row>
    <row r="391" spans="1:12" x14ac:dyDescent="0.3">
      <c r="A391" t="s">
        <v>439</v>
      </c>
      <c r="B391">
        <v>46183</v>
      </c>
      <c r="C391" t="s">
        <v>13</v>
      </c>
      <c r="D391">
        <v>5</v>
      </c>
      <c r="E391" s="1">
        <v>52000</v>
      </c>
      <c r="F391" s="2">
        <v>0.05</v>
      </c>
      <c r="G391" s="1">
        <v>247000</v>
      </c>
      <c r="H391" s="1">
        <v>169000</v>
      </c>
      <c r="I391" s="1">
        <v>78000</v>
      </c>
      <c r="J391" t="s">
        <v>19</v>
      </c>
      <c r="K391" t="s">
        <v>79</v>
      </c>
      <c r="L391" t="s">
        <v>25</v>
      </c>
    </row>
    <row r="392" spans="1:12" x14ac:dyDescent="0.3">
      <c r="A392" t="s">
        <v>440</v>
      </c>
      <c r="B392">
        <v>45913</v>
      </c>
      <c r="C392" t="s">
        <v>30</v>
      </c>
      <c r="D392">
        <v>2</v>
      </c>
      <c r="E392" s="1">
        <v>682.5</v>
      </c>
      <c r="F392" s="2">
        <v>0.05</v>
      </c>
      <c r="G392" s="1">
        <v>1296.75</v>
      </c>
      <c r="H392" s="1">
        <v>887.25</v>
      </c>
      <c r="I392" s="1"/>
      <c r="J392" t="s">
        <v>19</v>
      </c>
      <c r="K392" t="s">
        <v>70</v>
      </c>
      <c r="L392" t="s">
        <v>21</v>
      </c>
    </row>
    <row r="393" spans="1:12" x14ac:dyDescent="0.3">
      <c r="A393" t="s">
        <v>441</v>
      </c>
      <c r="B393">
        <v>45885</v>
      </c>
      <c r="C393" t="s">
        <v>88</v>
      </c>
      <c r="D393">
        <v>7</v>
      </c>
      <c r="E393" s="1">
        <v>1500</v>
      </c>
      <c r="F393" s="2">
        <v>0.1</v>
      </c>
      <c r="G393" s="1">
        <v>9450</v>
      </c>
      <c r="H393" s="1">
        <v>6825</v>
      </c>
      <c r="I393" s="1">
        <v>2625</v>
      </c>
      <c r="J393" t="s">
        <v>19</v>
      </c>
      <c r="K393" t="s">
        <v>34</v>
      </c>
      <c r="L393" t="s">
        <v>21</v>
      </c>
    </row>
    <row r="394" spans="1:12" x14ac:dyDescent="0.3">
      <c r="A394" t="s">
        <v>442</v>
      </c>
      <c r="B394">
        <v>45680</v>
      </c>
      <c r="C394" t="s">
        <v>30</v>
      </c>
      <c r="D394">
        <v>8</v>
      </c>
      <c r="E394" s="1">
        <v>650</v>
      </c>
      <c r="F394" s="2">
        <v>0.05</v>
      </c>
      <c r="G394" s="1">
        <v>4940</v>
      </c>
      <c r="H394" s="1">
        <v>3380</v>
      </c>
      <c r="I394" s="1">
        <v>1560</v>
      </c>
      <c r="J394" t="s">
        <v>19</v>
      </c>
      <c r="K394" t="s">
        <v>34</v>
      </c>
      <c r="L394" t="s">
        <v>21</v>
      </c>
    </row>
    <row r="395" spans="1:12" x14ac:dyDescent="0.3">
      <c r="A395" t="s">
        <v>443</v>
      </c>
      <c r="B395">
        <v>45701</v>
      </c>
      <c r="C395" t="s">
        <v>56</v>
      </c>
      <c r="D395">
        <v>3</v>
      </c>
      <c r="E395" s="1">
        <v>9310</v>
      </c>
      <c r="F395" s="2">
        <v>0.2</v>
      </c>
      <c r="G395" s="1">
        <v>22344</v>
      </c>
      <c r="H395" s="1">
        <v>18154.5</v>
      </c>
      <c r="I395" s="1">
        <v>4189.5</v>
      </c>
      <c r="J395" t="s">
        <v>23</v>
      </c>
      <c r="K395" t="s">
        <v>72</v>
      </c>
      <c r="L395" t="s">
        <v>25</v>
      </c>
    </row>
    <row r="396" spans="1:12" x14ac:dyDescent="0.3">
      <c r="A396" t="s">
        <v>444</v>
      </c>
      <c r="B396">
        <v>45688</v>
      </c>
      <c r="C396" t="s">
        <v>43</v>
      </c>
      <c r="D396">
        <v>3</v>
      </c>
      <c r="E396" s="1">
        <v>3360</v>
      </c>
      <c r="F396" s="2">
        <v>0.1</v>
      </c>
      <c r="G396" s="1">
        <v>9072</v>
      </c>
      <c r="H396" s="1">
        <v>6552</v>
      </c>
      <c r="I396" s="1">
        <v>2520</v>
      </c>
      <c r="J396" t="s">
        <v>14</v>
      </c>
      <c r="K396" t="s">
        <v>40</v>
      </c>
      <c r="L396" t="s">
        <v>25</v>
      </c>
    </row>
    <row r="397" spans="1:12" x14ac:dyDescent="0.3">
      <c r="A397" t="s">
        <v>445</v>
      </c>
      <c r="B397">
        <v>45944</v>
      </c>
      <c r="C397" t="s">
        <v>56</v>
      </c>
      <c r="D397">
        <v>1</v>
      </c>
      <c r="E397" s="1">
        <v>9800</v>
      </c>
      <c r="F397" s="2">
        <v>0.2</v>
      </c>
      <c r="G397" s="1">
        <v>7840</v>
      </c>
      <c r="H397" s="1">
        <v>6370</v>
      </c>
      <c r="I397" s="1">
        <v>1470</v>
      </c>
      <c r="J397" t="s">
        <v>14</v>
      </c>
      <c r="K397" t="s">
        <v>36</v>
      </c>
      <c r="L397" t="s">
        <v>25</v>
      </c>
    </row>
    <row r="398" spans="1:12" x14ac:dyDescent="0.3">
      <c r="A398" t="s">
        <v>446</v>
      </c>
      <c r="B398">
        <v>46079</v>
      </c>
      <c r="C398" t="s">
        <v>51</v>
      </c>
      <c r="D398">
        <v>1</v>
      </c>
      <c r="E398" s="1">
        <v>2730</v>
      </c>
      <c r="F398" s="2">
        <v>0</v>
      </c>
      <c r="G398" s="1">
        <v>2730</v>
      </c>
      <c r="H398" s="1">
        <v>1774.5</v>
      </c>
      <c r="I398" s="1">
        <v>955.5</v>
      </c>
      <c r="J398" t="s">
        <v>27</v>
      </c>
      <c r="K398" t="s">
        <v>52</v>
      </c>
      <c r="L398" t="s">
        <v>21</v>
      </c>
    </row>
    <row r="399" spans="1:12" x14ac:dyDescent="0.3">
      <c r="A399" t="s">
        <v>447</v>
      </c>
      <c r="B399">
        <v>46087</v>
      </c>
      <c r="C399" t="s">
        <v>39</v>
      </c>
      <c r="D399">
        <v>1</v>
      </c>
      <c r="E399" s="1">
        <v>12500</v>
      </c>
      <c r="F399" s="2">
        <v>0.15</v>
      </c>
      <c r="G399" s="1">
        <v>10625</v>
      </c>
      <c r="H399" s="1">
        <v>8125</v>
      </c>
      <c r="I399" s="1">
        <v>2500</v>
      </c>
      <c r="J399" t="s">
        <v>27</v>
      </c>
      <c r="K399" t="s">
        <v>52</v>
      </c>
      <c r="L399" t="s">
        <v>16</v>
      </c>
    </row>
    <row r="400" spans="1:12" x14ac:dyDescent="0.3">
      <c r="A400" t="s">
        <v>448</v>
      </c>
      <c r="B400">
        <v>46154</v>
      </c>
      <c r="C400" t="s">
        <v>76</v>
      </c>
      <c r="D400">
        <v>7</v>
      </c>
      <c r="E400" s="1">
        <v>700</v>
      </c>
      <c r="F400" s="2">
        <v>0.1</v>
      </c>
      <c r="G400" s="1">
        <v>4410</v>
      </c>
      <c r="H400" s="1">
        <v>3185</v>
      </c>
      <c r="I400" s="1">
        <v>1225</v>
      </c>
      <c r="J400" t="s">
        <v>14</v>
      </c>
      <c r="K400" t="s">
        <v>15</v>
      </c>
      <c r="L400" t="s">
        <v>25</v>
      </c>
    </row>
    <row r="401" spans="1:12" x14ac:dyDescent="0.3">
      <c r="A401" t="s">
        <v>449</v>
      </c>
      <c r="B401">
        <v>45882</v>
      </c>
      <c r="C401" t="s">
        <v>13</v>
      </c>
      <c r="D401">
        <v>1</v>
      </c>
      <c r="E401" s="1">
        <v>52000</v>
      </c>
      <c r="F401" s="2">
        <v>0.15</v>
      </c>
      <c r="G401" s="1">
        <v>44200</v>
      </c>
      <c r="H401" s="1">
        <v>33800</v>
      </c>
      <c r="I401" s="1">
        <v>10400</v>
      </c>
      <c r="J401" t="s">
        <v>27</v>
      </c>
      <c r="K401" t="s">
        <v>28</v>
      </c>
      <c r="L401" t="s">
        <v>21</v>
      </c>
    </row>
    <row r="402" spans="1:12" x14ac:dyDescent="0.3">
      <c r="A402" t="s">
        <v>450</v>
      </c>
      <c r="B402">
        <v>45760</v>
      </c>
      <c r="C402" t="s">
        <v>39</v>
      </c>
      <c r="D402">
        <v>5</v>
      </c>
      <c r="E402" s="1">
        <v>12500</v>
      </c>
      <c r="F402" s="2">
        <v>0.2</v>
      </c>
      <c r="G402" s="1">
        <v>50000</v>
      </c>
      <c r="H402" s="1">
        <v>40625</v>
      </c>
      <c r="I402" s="1">
        <v>9375</v>
      </c>
      <c r="J402" t="s">
        <v>19</v>
      </c>
      <c r="K402" t="s">
        <v>20</v>
      </c>
      <c r="L402" t="s">
        <v>16</v>
      </c>
    </row>
    <row r="403" spans="1:12" x14ac:dyDescent="0.3">
      <c r="A403" t="s">
        <v>451</v>
      </c>
      <c r="B403">
        <v>46055</v>
      </c>
      <c r="C403" t="s">
        <v>76</v>
      </c>
      <c r="D403">
        <v>3</v>
      </c>
      <c r="E403" s="1">
        <v>700</v>
      </c>
      <c r="F403" s="2">
        <v>0.05</v>
      </c>
      <c r="G403" s="1">
        <v>1995</v>
      </c>
      <c r="H403" s="1">
        <v>1365</v>
      </c>
      <c r="I403" s="1">
        <v>630</v>
      </c>
      <c r="J403" t="s">
        <v>27</v>
      </c>
      <c r="K403" t="s">
        <v>31</v>
      </c>
      <c r="L403" t="s">
        <v>16</v>
      </c>
    </row>
    <row r="404" spans="1:12" x14ac:dyDescent="0.3">
      <c r="A404" t="s">
        <v>452</v>
      </c>
      <c r="B404">
        <v>45686</v>
      </c>
      <c r="C404" t="s">
        <v>76</v>
      </c>
      <c r="D404">
        <v>4</v>
      </c>
      <c r="E404" s="1">
        <v>700</v>
      </c>
      <c r="F404" s="2">
        <v>0.15</v>
      </c>
      <c r="G404" s="1">
        <v>2380</v>
      </c>
      <c r="H404" s="1">
        <v>1820</v>
      </c>
      <c r="I404" s="1">
        <v>560</v>
      </c>
      <c r="J404" t="s">
        <v>27</v>
      </c>
      <c r="K404" t="s">
        <v>28</v>
      </c>
      <c r="L404" t="s">
        <v>25</v>
      </c>
    </row>
    <row r="405" spans="1:12" x14ac:dyDescent="0.3">
      <c r="A405" t="s">
        <v>453</v>
      </c>
      <c r="B405">
        <v>45696</v>
      </c>
      <c r="C405" t="s">
        <v>30</v>
      </c>
      <c r="D405">
        <v>4</v>
      </c>
      <c r="E405" s="1">
        <v>617.5</v>
      </c>
      <c r="F405" s="2">
        <v>0.2</v>
      </c>
      <c r="G405" s="1">
        <v>1976</v>
      </c>
      <c r="H405" s="1">
        <v>1605.5</v>
      </c>
      <c r="I405" s="1">
        <v>370.5</v>
      </c>
      <c r="J405" t="s">
        <v>14</v>
      </c>
      <c r="K405" t="s">
        <v>15</v>
      </c>
      <c r="L405" t="s">
        <v>16</v>
      </c>
    </row>
    <row r="406" spans="1:12" x14ac:dyDescent="0.3">
      <c r="A406" t="s">
        <v>454</v>
      </c>
      <c r="B406">
        <v>46147</v>
      </c>
      <c r="C406" t="s">
        <v>13</v>
      </c>
      <c r="D406">
        <v>4</v>
      </c>
      <c r="E406" s="1">
        <v>52000</v>
      </c>
      <c r="F406" s="2">
        <v>0.05</v>
      </c>
      <c r="G406" s="1">
        <v>197600</v>
      </c>
      <c r="H406" s="1">
        <v>135200</v>
      </c>
      <c r="I406" s="1">
        <v>62400</v>
      </c>
      <c r="J406" t="s">
        <v>27</v>
      </c>
      <c r="K406" t="s">
        <v>28</v>
      </c>
      <c r="L406" t="s">
        <v>25</v>
      </c>
    </row>
    <row r="407" spans="1:12" x14ac:dyDescent="0.3">
      <c r="A407" t="s">
        <v>455</v>
      </c>
      <c r="B407">
        <v>45718</v>
      </c>
      <c r="C407" t="s">
        <v>13</v>
      </c>
      <c r="D407">
        <v>3</v>
      </c>
      <c r="E407" s="1">
        <v>52000</v>
      </c>
      <c r="F407" s="2">
        <v>0</v>
      </c>
      <c r="G407" s="1">
        <v>156000</v>
      </c>
      <c r="H407" s="1">
        <v>101400</v>
      </c>
      <c r="I407" s="1">
        <v>54600</v>
      </c>
      <c r="J407" t="s">
        <v>27</v>
      </c>
      <c r="K407" t="s">
        <v>49</v>
      </c>
      <c r="L407" t="s">
        <v>25</v>
      </c>
    </row>
    <row r="408" spans="1:12" x14ac:dyDescent="0.3">
      <c r="A408" t="s">
        <v>456</v>
      </c>
      <c r="B408">
        <v>46063</v>
      </c>
      <c r="C408" t="s">
        <v>18</v>
      </c>
      <c r="D408">
        <v>6</v>
      </c>
      <c r="E408" s="1">
        <v>1710</v>
      </c>
      <c r="F408" s="2">
        <v>0.1</v>
      </c>
      <c r="G408" s="1">
        <v>9234</v>
      </c>
      <c r="H408" s="1">
        <v>6669</v>
      </c>
      <c r="I408" s="1">
        <v>2565</v>
      </c>
      <c r="J408" t="s">
        <v>27</v>
      </c>
      <c r="K408" t="s">
        <v>28</v>
      </c>
      <c r="L408" t="s">
        <v>21</v>
      </c>
    </row>
    <row r="409" spans="1:12" x14ac:dyDescent="0.3">
      <c r="A409" t="s">
        <v>457</v>
      </c>
      <c r="B409">
        <v>46105</v>
      </c>
      <c r="C409" t="s">
        <v>56</v>
      </c>
      <c r="D409">
        <v>3</v>
      </c>
      <c r="E409" s="1">
        <v>9800</v>
      </c>
      <c r="F409" s="2">
        <v>0.2</v>
      </c>
      <c r="G409" s="1">
        <v>23520</v>
      </c>
      <c r="H409" s="1">
        <v>19110</v>
      </c>
      <c r="I409" s="1">
        <v>4410</v>
      </c>
      <c r="J409" t="s">
        <v>27</v>
      </c>
      <c r="K409" t="s">
        <v>28</v>
      </c>
      <c r="L409" t="s">
        <v>16</v>
      </c>
    </row>
    <row r="410" spans="1:12" x14ac:dyDescent="0.3">
      <c r="A410" t="s">
        <v>458</v>
      </c>
      <c r="B410">
        <v>45837</v>
      </c>
      <c r="C410" t="s">
        <v>43</v>
      </c>
      <c r="D410">
        <v>5</v>
      </c>
      <c r="E410" s="1">
        <v>3200</v>
      </c>
      <c r="F410" s="2">
        <v>0.05</v>
      </c>
      <c r="G410" s="1">
        <v>15200</v>
      </c>
      <c r="H410" s="1">
        <v>10400</v>
      </c>
      <c r="I410" s="1">
        <v>4800</v>
      </c>
      <c r="J410" t="s">
        <v>14</v>
      </c>
      <c r="K410" t="s">
        <v>15</v>
      </c>
      <c r="L410" t="s">
        <v>16</v>
      </c>
    </row>
    <row r="411" spans="1:12" x14ac:dyDescent="0.3">
      <c r="A411" t="s">
        <v>459</v>
      </c>
      <c r="B411">
        <v>46058</v>
      </c>
      <c r="C411" t="s">
        <v>18</v>
      </c>
      <c r="D411">
        <v>3</v>
      </c>
      <c r="E411" s="1">
        <v>1710</v>
      </c>
      <c r="F411" s="2">
        <v>0.2</v>
      </c>
      <c r="G411" s="1">
        <v>4104</v>
      </c>
      <c r="H411" s="1">
        <v>3334.5</v>
      </c>
      <c r="I411" s="1">
        <v>769.5</v>
      </c>
      <c r="J411" t="s">
        <v>27</v>
      </c>
      <c r="K411" t="s">
        <v>28</v>
      </c>
      <c r="L411" t="s">
        <v>16</v>
      </c>
    </row>
    <row r="412" spans="1:12" x14ac:dyDescent="0.3">
      <c r="A412" t="s">
        <v>460</v>
      </c>
      <c r="B412">
        <v>45764</v>
      </c>
      <c r="C412" t="s">
        <v>56</v>
      </c>
      <c r="D412">
        <v>6</v>
      </c>
      <c r="E412" s="1">
        <v>9800</v>
      </c>
      <c r="F412" s="2">
        <v>0</v>
      </c>
      <c r="G412" s="1">
        <v>58800</v>
      </c>
      <c r="H412" s="1">
        <v>38220</v>
      </c>
      <c r="I412" s="1">
        <v>20580</v>
      </c>
      <c r="J412" t="s">
        <v>14</v>
      </c>
      <c r="K412" t="s">
        <v>36</v>
      </c>
      <c r="L412" t="s">
        <v>25</v>
      </c>
    </row>
    <row r="413" spans="1:12" x14ac:dyDescent="0.3">
      <c r="A413" t="s">
        <v>461</v>
      </c>
      <c r="B413">
        <v>45829</v>
      </c>
      <c r="C413" t="s">
        <v>30</v>
      </c>
      <c r="D413">
        <v>8</v>
      </c>
      <c r="E413" s="1">
        <v>650</v>
      </c>
      <c r="F413" s="2">
        <v>0</v>
      </c>
      <c r="G413" s="1">
        <v>5200</v>
      </c>
      <c r="H413" s="1">
        <v>3380</v>
      </c>
      <c r="I413" s="1">
        <v>1820</v>
      </c>
      <c r="J413" t="s">
        <v>27</v>
      </c>
      <c r="K413" t="s">
        <v>28</v>
      </c>
      <c r="L413" t="s">
        <v>21</v>
      </c>
    </row>
    <row r="414" spans="1:12" x14ac:dyDescent="0.3">
      <c r="A414" t="s">
        <v>462</v>
      </c>
      <c r="B414">
        <v>45727</v>
      </c>
      <c r="C414" t="s">
        <v>76</v>
      </c>
      <c r="D414">
        <v>2</v>
      </c>
      <c r="E414" s="1">
        <v>700</v>
      </c>
      <c r="F414" s="2">
        <v>0</v>
      </c>
      <c r="G414" s="1">
        <v>1400</v>
      </c>
      <c r="H414" s="1">
        <v>910</v>
      </c>
      <c r="I414" s="1">
        <v>490</v>
      </c>
      <c r="J414" t="s">
        <v>19</v>
      </c>
      <c r="K414" t="s">
        <v>79</v>
      </c>
      <c r="L414" t="s">
        <v>25</v>
      </c>
    </row>
    <row r="415" spans="1:12" x14ac:dyDescent="0.3">
      <c r="A415" t="s">
        <v>463</v>
      </c>
      <c r="B415">
        <v>46087</v>
      </c>
      <c r="C415" t="s">
        <v>88</v>
      </c>
      <c r="D415">
        <v>8</v>
      </c>
      <c r="E415" s="1">
        <v>1575</v>
      </c>
      <c r="F415" s="2">
        <v>0.15</v>
      </c>
      <c r="G415" s="1">
        <v>10710</v>
      </c>
      <c r="H415" s="1">
        <v>8190</v>
      </c>
      <c r="I415" s="1">
        <v>2520</v>
      </c>
      <c r="J415" t="s">
        <v>27</v>
      </c>
      <c r="K415" t="s">
        <v>52</v>
      </c>
      <c r="L415" t="s">
        <v>21</v>
      </c>
    </row>
    <row r="416" spans="1:12" x14ac:dyDescent="0.3">
      <c r="A416" t="s">
        <v>464</v>
      </c>
      <c r="B416">
        <v>46148</v>
      </c>
      <c r="C416" t="s">
        <v>18</v>
      </c>
      <c r="D416">
        <v>3</v>
      </c>
      <c r="E416" s="1">
        <v>1800</v>
      </c>
      <c r="F416" s="2">
        <v>0.15</v>
      </c>
      <c r="G416" s="1">
        <v>4590</v>
      </c>
      <c r="H416" s="1">
        <v>3510</v>
      </c>
      <c r="I416" s="1">
        <v>1080</v>
      </c>
      <c r="J416" t="s">
        <v>19</v>
      </c>
      <c r="K416" t="s">
        <v>70</v>
      </c>
      <c r="L416" t="s">
        <v>25</v>
      </c>
    </row>
    <row r="417" spans="1:12" x14ac:dyDescent="0.3">
      <c r="A417" t="s">
        <v>465</v>
      </c>
      <c r="B417">
        <v>45678</v>
      </c>
      <c r="C417" t="s">
        <v>76</v>
      </c>
      <c r="D417">
        <v>2</v>
      </c>
      <c r="E417" s="1">
        <v>700</v>
      </c>
      <c r="F417" s="2">
        <v>0</v>
      </c>
      <c r="G417" s="1">
        <v>1400</v>
      </c>
      <c r="H417" s="1">
        <v>910</v>
      </c>
      <c r="I417" s="1">
        <v>490</v>
      </c>
      <c r="J417" t="s">
        <v>27</v>
      </c>
      <c r="K417" t="s">
        <v>28</v>
      </c>
      <c r="L417" t="s">
        <v>25</v>
      </c>
    </row>
    <row r="418" spans="1:12" x14ac:dyDescent="0.3">
      <c r="A418" t="s">
        <v>466</v>
      </c>
      <c r="B418">
        <v>45822</v>
      </c>
      <c r="C418" t="s">
        <v>30</v>
      </c>
      <c r="D418">
        <v>6</v>
      </c>
      <c r="E418" s="1">
        <v>617.5</v>
      </c>
      <c r="F418" s="2">
        <v>0.2</v>
      </c>
      <c r="G418" s="1">
        <v>2964</v>
      </c>
      <c r="H418" s="1">
        <v>2408.25</v>
      </c>
      <c r="I418" s="1">
        <v>555.75</v>
      </c>
      <c r="J418" t="s">
        <v>23</v>
      </c>
      <c r="K418" t="s">
        <v>61</v>
      </c>
      <c r="L418" t="s">
        <v>25</v>
      </c>
    </row>
    <row r="419" spans="1:12" x14ac:dyDescent="0.3">
      <c r="A419" t="s">
        <v>467</v>
      </c>
      <c r="B419">
        <v>45826</v>
      </c>
      <c r="C419" t="s">
        <v>18</v>
      </c>
      <c r="D419">
        <v>3</v>
      </c>
      <c r="E419" s="1">
        <v>1890</v>
      </c>
      <c r="F419" s="2">
        <v>0</v>
      </c>
      <c r="G419" s="1">
        <v>5670</v>
      </c>
      <c r="H419" s="1">
        <v>3685.5</v>
      </c>
      <c r="I419" s="1">
        <v>1984.5</v>
      </c>
      <c r="J419" t="s">
        <v>19</v>
      </c>
      <c r="K419" t="s">
        <v>34</v>
      </c>
      <c r="L419" t="s">
        <v>21</v>
      </c>
    </row>
    <row r="420" spans="1:12" x14ac:dyDescent="0.3">
      <c r="A420" t="s">
        <v>468</v>
      </c>
      <c r="B420">
        <v>45852</v>
      </c>
      <c r="C420" t="s">
        <v>43</v>
      </c>
      <c r="D420">
        <v>5</v>
      </c>
      <c r="E420" s="1">
        <v>3200</v>
      </c>
      <c r="F420" s="2">
        <v>0.1</v>
      </c>
      <c r="G420" s="1">
        <v>14400</v>
      </c>
      <c r="H420" s="1">
        <v>10400</v>
      </c>
      <c r="I420" s="1">
        <v>4000</v>
      </c>
      <c r="J420" t="s">
        <v>14</v>
      </c>
      <c r="K420" t="s">
        <v>15</v>
      </c>
      <c r="L420" t="s">
        <v>21</v>
      </c>
    </row>
    <row r="421" spans="1:12" x14ac:dyDescent="0.3">
      <c r="A421" t="s">
        <v>469</v>
      </c>
      <c r="B421">
        <v>46060</v>
      </c>
      <c r="C421" t="s">
        <v>18</v>
      </c>
      <c r="D421">
        <v>3</v>
      </c>
      <c r="E421" s="1">
        <v>1890</v>
      </c>
      <c r="F421" s="2">
        <v>0</v>
      </c>
      <c r="G421" s="1">
        <v>5670</v>
      </c>
      <c r="H421" s="1">
        <v>3685.5</v>
      </c>
      <c r="I421" s="1">
        <v>1984.5</v>
      </c>
      <c r="J421" t="s">
        <v>27</v>
      </c>
      <c r="K421" t="s">
        <v>49</v>
      </c>
      <c r="L421" t="s">
        <v>25</v>
      </c>
    </row>
    <row r="422" spans="1:12" x14ac:dyDescent="0.3">
      <c r="A422" t="s">
        <v>470</v>
      </c>
      <c r="B422">
        <v>45747</v>
      </c>
      <c r="C422" t="s">
        <v>60</v>
      </c>
      <c r="D422">
        <v>4</v>
      </c>
      <c r="E422" s="1">
        <v>2310</v>
      </c>
      <c r="F422" s="2">
        <v>0</v>
      </c>
      <c r="G422" s="1"/>
      <c r="H422" s="1">
        <v>6006</v>
      </c>
      <c r="I422" s="1">
        <v>3234</v>
      </c>
      <c r="J422" t="s">
        <v>19</v>
      </c>
      <c r="K422" t="s">
        <v>20</v>
      </c>
      <c r="L422" t="s">
        <v>21</v>
      </c>
    </row>
    <row r="423" spans="1:12" x14ac:dyDescent="0.3">
      <c r="A423" t="s">
        <v>471</v>
      </c>
      <c r="B423">
        <v>45956</v>
      </c>
      <c r="C423" t="s">
        <v>30</v>
      </c>
      <c r="D423">
        <v>2</v>
      </c>
      <c r="E423" s="1">
        <v>682.5</v>
      </c>
      <c r="F423" s="2">
        <v>0.1</v>
      </c>
      <c r="G423" s="1">
        <v>1228.5</v>
      </c>
      <c r="H423" s="1">
        <v>887.25</v>
      </c>
      <c r="I423" s="1">
        <v>341.25</v>
      </c>
      <c r="J423" t="s">
        <v>23</v>
      </c>
      <c r="K423" t="s">
        <v>72</v>
      </c>
      <c r="L423" t="s">
        <v>25</v>
      </c>
    </row>
    <row r="424" spans="1:12" x14ac:dyDescent="0.3">
      <c r="A424" t="s">
        <v>472</v>
      </c>
      <c r="B424">
        <v>45929</v>
      </c>
      <c r="C424" t="s">
        <v>30</v>
      </c>
      <c r="D424">
        <v>3</v>
      </c>
      <c r="E424" s="1">
        <v>682.5</v>
      </c>
      <c r="F424" s="2">
        <v>0.1</v>
      </c>
      <c r="G424" s="1">
        <v>1842.75</v>
      </c>
      <c r="H424" s="1">
        <v>1330.88</v>
      </c>
      <c r="I424" s="1">
        <v>511.87</v>
      </c>
      <c r="J424" t="s">
        <v>23</v>
      </c>
      <c r="K424" t="s">
        <v>66</v>
      </c>
      <c r="L424" t="s">
        <v>21</v>
      </c>
    </row>
    <row r="425" spans="1:12" x14ac:dyDescent="0.3">
      <c r="A425" t="s">
        <v>473</v>
      </c>
      <c r="B425">
        <v>46114</v>
      </c>
      <c r="C425" t="s">
        <v>13</v>
      </c>
      <c r="D425">
        <v>8</v>
      </c>
      <c r="E425" s="1">
        <v>52000</v>
      </c>
      <c r="F425" s="2">
        <v>0.15</v>
      </c>
      <c r="G425" s="1">
        <v>353600</v>
      </c>
      <c r="H425" s="1">
        <v>270400</v>
      </c>
      <c r="I425" s="1">
        <v>83200</v>
      </c>
      <c r="J425" t="s">
        <v>27</v>
      </c>
      <c r="K425" t="s">
        <v>28</v>
      </c>
      <c r="L425" t="s">
        <v>25</v>
      </c>
    </row>
    <row r="426" spans="1:12" x14ac:dyDescent="0.3">
      <c r="A426" t="s">
        <v>474</v>
      </c>
      <c r="B426">
        <v>45721</v>
      </c>
      <c r="C426" t="s">
        <v>88</v>
      </c>
      <c r="D426">
        <v>2</v>
      </c>
      <c r="E426" s="1">
        <v>1425</v>
      </c>
      <c r="F426" s="2">
        <v>0.1</v>
      </c>
      <c r="G426" s="1">
        <v>2565</v>
      </c>
      <c r="H426" s="1">
        <v>1852.5</v>
      </c>
      <c r="I426" s="1">
        <v>712.5</v>
      </c>
      <c r="J426" t="s">
        <v>23</v>
      </c>
      <c r="K426" t="s">
        <v>24</v>
      </c>
      <c r="L426" t="s">
        <v>16</v>
      </c>
    </row>
    <row r="427" spans="1:12" x14ac:dyDescent="0.3">
      <c r="A427" t="s">
        <v>475</v>
      </c>
      <c r="B427">
        <v>45720</v>
      </c>
      <c r="C427" t="s">
        <v>43</v>
      </c>
      <c r="D427">
        <v>8</v>
      </c>
      <c r="E427" s="1">
        <v>3360</v>
      </c>
      <c r="F427" s="2">
        <v>0.2</v>
      </c>
      <c r="G427" s="1">
        <v>21504</v>
      </c>
      <c r="H427" s="1">
        <v>17472</v>
      </c>
      <c r="I427" s="1">
        <v>4032</v>
      </c>
      <c r="J427" t="s">
        <v>14</v>
      </c>
      <c r="K427" t="s">
        <v>47</v>
      </c>
      <c r="L427" t="s">
        <v>25</v>
      </c>
    </row>
    <row r="428" spans="1:12" x14ac:dyDescent="0.3">
      <c r="A428" t="s">
        <v>476</v>
      </c>
      <c r="B428">
        <v>45738</v>
      </c>
      <c r="C428" t="s">
        <v>43</v>
      </c>
      <c r="D428">
        <v>3</v>
      </c>
      <c r="E428" s="1">
        <v>3040</v>
      </c>
      <c r="F428" s="2">
        <v>0</v>
      </c>
      <c r="G428" s="1">
        <v>9120</v>
      </c>
      <c r="H428" s="1">
        <v>5928</v>
      </c>
      <c r="I428" s="1">
        <v>3192</v>
      </c>
      <c r="J428" t="s">
        <v>23</v>
      </c>
      <c r="K428" t="s">
        <v>24</v>
      </c>
      <c r="L428" t="s">
        <v>21</v>
      </c>
    </row>
    <row r="429" spans="1:12" x14ac:dyDescent="0.3">
      <c r="A429" t="s">
        <v>477</v>
      </c>
      <c r="B429">
        <v>45874</v>
      </c>
      <c r="C429" t="s">
        <v>39</v>
      </c>
      <c r="D429">
        <v>1</v>
      </c>
      <c r="E429" s="1">
        <v>12500</v>
      </c>
      <c r="F429" s="2">
        <v>0.15</v>
      </c>
      <c r="G429" s="1">
        <v>10625</v>
      </c>
      <c r="H429" s="1">
        <v>8125</v>
      </c>
      <c r="I429" s="1">
        <v>2500</v>
      </c>
      <c r="J429" t="s">
        <v>19</v>
      </c>
      <c r="K429" t="s">
        <v>79</v>
      </c>
      <c r="L429" t="s">
        <v>21</v>
      </c>
    </row>
    <row r="430" spans="1:12" x14ac:dyDescent="0.3">
      <c r="A430" t="s">
        <v>478</v>
      </c>
      <c r="B430">
        <v>45809</v>
      </c>
      <c r="C430" t="s">
        <v>18</v>
      </c>
      <c r="D430">
        <v>6</v>
      </c>
      <c r="E430" s="1">
        <v>1800</v>
      </c>
      <c r="F430" s="2">
        <v>0</v>
      </c>
      <c r="G430" s="1">
        <v>10800</v>
      </c>
      <c r="H430" s="1">
        <v>7020</v>
      </c>
      <c r="I430" s="1">
        <v>3780</v>
      </c>
      <c r="J430" t="s">
        <v>19</v>
      </c>
      <c r="K430" t="s">
        <v>79</v>
      </c>
      <c r="L430" t="s">
        <v>16</v>
      </c>
    </row>
    <row r="431" spans="1:12" x14ac:dyDescent="0.3">
      <c r="A431" t="s">
        <v>479</v>
      </c>
      <c r="B431">
        <v>46064</v>
      </c>
      <c r="C431" t="s">
        <v>51</v>
      </c>
      <c r="D431">
        <v>5</v>
      </c>
      <c r="E431" s="1">
        <v>2600</v>
      </c>
      <c r="F431" s="2">
        <v>0.2</v>
      </c>
      <c r="G431" s="1">
        <v>10400</v>
      </c>
      <c r="H431" s="1">
        <v>8450</v>
      </c>
      <c r="I431" s="1">
        <v>1950</v>
      </c>
      <c r="J431" t="s">
        <v>23</v>
      </c>
      <c r="K431" t="s">
        <v>61</v>
      </c>
      <c r="L431" t="s">
        <v>16</v>
      </c>
    </row>
    <row r="432" spans="1:12" x14ac:dyDescent="0.3">
      <c r="A432" t="s">
        <v>480</v>
      </c>
      <c r="B432">
        <v>46193</v>
      </c>
      <c r="C432" t="s">
        <v>43</v>
      </c>
      <c r="D432">
        <v>7</v>
      </c>
      <c r="E432" s="1">
        <v>3040</v>
      </c>
      <c r="F432" s="2">
        <v>0.05</v>
      </c>
      <c r="G432" s="1">
        <v>20216</v>
      </c>
      <c r="H432" s="1">
        <v>13832</v>
      </c>
      <c r="I432" s="1">
        <v>6384</v>
      </c>
      <c r="J432" t="s">
        <v>14</v>
      </c>
      <c r="K432" t="s">
        <v>15</v>
      </c>
      <c r="L432" t="s">
        <v>21</v>
      </c>
    </row>
    <row r="433" spans="1:12" x14ac:dyDescent="0.3">
      <c r="A433" t="s">
        <v>481</v>
      </c>
      <c r="B433">
        <v>45761</v>
      </c>
      <c r="C433" t="s">
        <v>60</v>
      </c>
      <c r="D433">
        <v>7</v>
      </c>
      <c r="E433" s="1">
        <v>2200</v>
      </c>
      <c r="F433" s="2">
        <v>0.1</v>
      </c>
      <c r="G433" s="1">
        <v>13860</v>
      </c>
      <c r="H433" s="1">
        <v>10010</v>
      </c>
      <c r="I433" s="1">
        <v>3850</v>
      </c>
      <c r="J433" t="s">
        <v>23</v>
      </c>
      <c r="K433" t="s">
        <v>72</v>
      </c>
      <c r="L433" t="s">
        <v>16</v>
      </c>
    </row>
    <row r="434" spans="1:12" x14ac:dyDescent="0.3">
      <c r="A434" t="s">
        <v>482</v>
      </c>
      <c r="B434">
        <v>46142</v>
      </c>
      <c r="C434" t="s">
        <v>13</v>
      </c>
      <c r="D434">
        <v>5</v>
      </c>
      <c r="E434" s="1">
        <v>52000</v>
      </c>
      <c r="F434" s="2">
        <v>0.15</v>
      </c>
      <c r="G434" s="1">
        <v>221000</v>
      </c>
      <c r="H434" s="1">
        <v>169000</v>
      </c>
      <c r="I434" s="1">
        <v>52000</v>
      </c>
      <c r="J434" t="s">
        <v>14</v>
      </c>
      <c r="K434" t="s">
        <v>47</v>
      </c>
      <c r="L434" t="s">
        <v>21</v>
      </c>
    </row>
    <row r="435" spans="1:12" x14ac:dyDescent="0.3">
      <c r="A435" t="s">
        <v>483</v>
      </c>
      <c r="B435">
        <v>46063</v>
      </c>
      <c r="C435" t="s">
        <v>76</v>
      </c>
      <c r="D435">
        <v>1</v>
      </c>
      <c r="E435" s="1">
        <v>700</v>
      </c>
      <c r="F435" s="2">
        <v>0.15</v>
      </c>
      <c r="G435" s="1">
        <v>595</v>
      </c>
      <c r="H435" s="1">
        <v>455</v>
      </c>
      <c r="I435" s="1">
        <v>140</v>
      </c>
      <c r="J435" t="s">
        <v>27</v>
      </c>
      <c r="K435" t="s">
        <v>31</v>
      </c>
      <c r="L435" t="s">
        <v>21</v>
      </c>
    </row>
    <row r="436" spans="1:12" x14ac:dyDescent="0.3">
      <c r="A436" t="s">
        <v>484</v>
      </c>
      <c r="B436">
        <v>46003</v>
      </c>
      <c r="C436" t="s">
        <v>60</v>
      </c>
      <c r="D436">
        <v>5</v>
      </c>
      <c r="E436" s="1">
        <v>2200</v>
      </c>
      <c r="F436" s="2">
        <v>0.15</v>
      </c>
      <c r="G436" s="1">
        <v>9350</v>
      </c>
      <c r="H436" s="1">
        <v>7150</v>
      </c>
      <c r="I436" s="1">
        <v>2200</v>
      </c>
      <c r="J436" t="s">
        <v>19</v>
      </c>
      <c r="K436" t="s">
        <v>20</v>
      </c>
      <c r="L436" t="s">
        <v>21</v>
      </c>
    </row>
    <row r="437" spans="1:12" x14ac:dyDescent="0.3">
      <c r="A437" t="s">
        <v>485</v>
      </c>
      <c r="B437">
        <v>45965</v>
      </c>
      <c r="C437" t="s">
        <v>56</v>
      </c>
      <c r="D437">
        <v>5</v>
      </c>
      <c r="E437" s="1">
        <v>9800</v>
      </c>
      <c r="F437" s="2">
        <v>0.15</v>
      </c>
      <c r="G437" s="1">
        <v>41650</v>
      </c>
      <c r="H437" s="1">
        <v>31850</v>
      </c>
      <c r="I437" s="1">
        <v>9800</v>
      </c>
      <c r="J437" t="s">
        <v>19</v>
      </c>
      <c r="K437" t="s">
        <v>20</v>
      </c>
      <c r="L437" t="s">
        <v>25</v>
      </c>
    </row>
    <row r="438" spans="1:12" x14ac:dyDescent="0.3">
      <c r="A438" t="s">
        <v>486</v>
      </c>
      <c r="B438">
        <v>45874</v>
      </c>
      <c r="C438" t="s">
        <v>43</v>
      </c>
      <c r="D438">
        <v>6</v>
      </c>
      <c r="E438" s="1">
        <v>3360</v>
      </c>
      <c r="F438" s="2">
        <v>0</v>
      </c>
      <c r="G438" s="1">
        <v>20160</v>
      </c>
      <c r="H438" s="1">
        <v>13104</v>
      </c>
      <c r="I438" s="1">
        <v>7056</v>
      </c>
      <c r="J438" t="s">
        <v>14</v>
      </c>
      <c r="K438" t="s">
        <v>15</v>
      </c>
      <c r="L438" t="s">
        <v>25</v>
      </c>
    </row>
    <row r="439" spans="1:12" x14ac:dyDescent="0.3">
      <c r="A439" t="s">
        <v>487</v>
      </c>
      <c r="B439">
        <v>46176</v>
      </c>
      <c r="C439" t="s">
        <v>43</v>
      </c>
      <c r="D439">
        <v>1</v>
      </c>
      <c r="E439" s="1">
        <v>3200</v>
      </c>
      <c r="F439" s="2">
        <v>0.05</v>
      </c>
      <c r="G439" s="1">
        <v>3040</v>
      </c>
      <c r="H439" s="1">
        <v>2080</v>
      </c>
      <c r="I439" s="1">
        <v>960</v>
      </c>
      <c r="J439" t="s">
        <v>14</v>
      </c>
      <c r="K439" t="s">
        <v>40</v>
      </c>
      <c r="L439" t="s">
        <v>21</v>
      </c>
    </row>
    <row r="440" spans="1:12" x14ac:dyDescent="0.3">
      <c r="A440" t="s">
        <v>488</v>
      </c>
      <c r="B440">
        <v>45913</v>
      </c>
      <c r="C440" t="s">
        <v>13</v>
      </c>
      <c r="D440">
        <v>1</v>
      </c>
      <c r="E440" s="1">
        <v>54600</v>
      </c>
      <c r="F440" s="2">
        <v>0.1</v>
      </c>
      <c r="G440" s="1">
        <v>49140</v>
      </c>
      <c r="H440" s="1">
        <v>35490</v>
      </c>
      <c r="I440" s="1">
        <v>13650</v>
      </c>
      <c r="J440" t="s">
        <v>14</v>
      </c>
      <c r="K440" t="s">
        <v>36</v>
      </c>
      <c r="L440" t="s">
        <v>25</v>
      </c>
    </row>
    <row r="441" spans="1:12" x14ac:dyDescent="0.3">
      <c r="A441" t="s">
        <v>489</v>
      </c>
      <c r="B441">
        <v>46133</v>
      </c>
      <c r="C441" t="s">
        <v>51</v>
      </c>
      <c r="D441">
        <v>2</v>
      </c>
      <c r="E441" s="1">
        <v>2730</v>
      </c>
      <c r="F441" s="2">
        <v>0</v>
      </c>
      <c r="G441" s="1">
        <v>5460</v>
      </c>
      <c r="H441" s="1">
        <v>3549</v>
      </c>
      <c r="I441" s="1">
        <v>1911</v>
      </c>
      <c r="J441" t="s">
        <v>14</v>
      </c>
      <c r="K441" t="s">
        <v>36</v>
      </c>
      <c r="L441" t="s">
        <v>25</v>
      </c>
    </row>
    <row r="442" spans="1:12" x14ac:dyDescent="0.3">
      <c r="A442" t="s">
        <v>490</v>
      </c>
      <c r="B442">
        <v>46114</v>
      </c>
      <c r="C442" t="s">
        <v>88</v>
      </c>
      <c r="D442">
        <v>6</v>
      </c>
      <c r="E442" s="1">
        <v>1575</v>
      </c>
      <c r="F442" s="2">
        <v>0.1</v>
      </c>
      <c r="G442" s="1">
        <v>8505</v>
      </c>
      <c r="H442" s="1">
        <v>6142.5</v>
      </c>
      <c r="I442" s="1">
        <v>2362.5</v>
      </c>
      <c r="J442" t="s">
        <v>14</v>
      </c>
      <c r="K442" t="s">
        <v>36</v>
      </c>
      <c r="L442" t="s">
        <v>16</v>
      </c>
    </row>
    <row r="443" spans="1:12" x14ac:dyDescent="0.3">
      <c r="A443" t="s">
        <v>491</v>
      </c>
      <c r="B443">
        <v>45750</v>
      </c>
      <c r="C443" t="s">
        <v>60</v>
      </c>
      <c r="D443">
        <v>7</v>
      </c>
      <c r="E443" s="1">
        <v>2090</v>
      </c>
      <c r="F443" s="2">
        <v>0</v>
      </c>
      <c r="G443" s="1">
        <v>14630</v>
      </c>
      <c r="H443" s="1">
        <v>9509.5</v>
      </c>
      <c r="I443" s="1">
        <v>5120.5</v>
      </c>
      <c r="J443" t="s">
        <v>14</v>
      </c>
      <c r="K443" t="s">
        <v>40</v>
      </c>
      <c r="L443" t="s">
        <v>21</v>
      </c>
    </row>
    <row r="444" spans="1:12" x14ac:dyDescent="0.3">
      <c r="A444" t="s">
        <v>492</v>
      </c>
      <c r="B444">
        <v>45888</v>
      </c>
      <c r="C444" t="s">
        <v>39</v>
      </c>
      <c r="D444">
        <v>7</v>
      </c>
      <c r="E444" s="1">
        <v>12500</v>
      </c>
      <c r="F444" s="2">
        <v>0.2</v>
      </c>
      <c r="G444" s="1">
        <v>70000</v>
      </c>
      <c r="H444" s="1">
        <v>56875</v>
      </c>
      <c r="I444" s="1">
        <v>13125</v>
      </c>
      <c r="J444" t="s">
        <v>19</v>
      </c>
      <c r="K444" t="s">
        <v>70</v>
      </c>
      <c r="L444" t="s">
        <v>25</v>
      </c>
    </row>
    <row r="445" spans="1:12" x14ac:dyDescent="0.3">
      <c r="A445" t="s">
        <v>493</v>
      </c>
      <c r="B445">
        <v>45793</v>
      </c>
      <c r="C445" t="s">
        <v>88</v>
      </c>
      <c r="D445">
        <v>4</v>
      </c>
      <c r="E445" s="1">
        <v>1425</v>
      </c>
      <c r="F445" s="2">
        <v>0.1</v>
      </c>
      <c r="G445" s="1">
        <v>5130</v>
      </c>
      <c r="H445" s="1">
        <v>3705</v>
      </c>
      <c r="I445" s="1">
        <v>1425</v>
      </c>
      <c r="J445" t="s">
        <v>27</v>
      </c>
      <c r="K445" t="s">
        <v>31</v>
      </c>
      <c r="L445" t="s">
        <v>25</v>
      </c>
    </row>
    <row r="446" spans="1:12" x14ac:dyDescent="0.3">
      <c r="A446" t="s">
        <v>494</v>
      </c>
      <c r="B446">
        <v>46043</v>
      </c>
      <c r="C446" t="s">
        <v>76</v>
      </c>
      <c r="D446">
        <v>5</v>
      </c>
      <c r="E446" s="1">
        <v>735</v>
      </c>
      <c r="F446" s="2">
        <v>0.05</v>
      </c>
      <c r="G446" s="1">
        <v>3491.25</v>
      </c>
      <c r="H446" s="1">
        <v>2388.75</v>
      </c>
      <c r="I446" s="1">
        <v>1102.5</v>
      </c>
      <c r="J446" t="s">
        <v>23</v>
      </c>
      <c r="K446" t="s">
        <v>66</v>
      </c>
      <c r="L446" t="s">
        <v>16</v>
      </c>
    </row>
    <row r="447" spans="1:12" x14ac:dyDescent="0.3">
      <c r="A447" t="s">
        <v>495</v>
      </c>
      <c r="B447">
        <v>46191</v>
      </c>
      <c r="C447" t="s">
        <v>18</v>
      </c>
      <c r="D447">
        <v>2</v>
      </c>
      <c r="E447" s="1">
        <v>1890</v>
      </c>
      <c r="F447" s="2">
        <v>0</v>
      </c>
      <c r="G447" s="1">
        <v>3780</v>
      </c>
      <c r="H447" s="1">
        <v>2457</v>
      </c>
      <c r="I447" s="1">
        <v>1323</v>
      </c>
      <c r="J447" t="s">
        <v>27</v>
      </c>
      <c r="K447" t="s">
        <v>31</v>
      </c>
      <c r="L447" t="s">
        <v>25</v>
      </c>
    </row>
    <row r="448" spans="1:12" x14ac:dyDescent="0.3">
      <c r="A448" t="s">
        <v>496</v>
      </c>
      <c r="B448">
        <v>45768</v>
      </c>
      <c r="C448" t="s">
        <v>56</v>
      </c>
      <c r="D448">
        <v>6</v>
      </c>
      <c r="E448" s="1">
        <v>9310</v>
      </c>
      <c r="F448" s="2">
        <v>0.1</v>
      </c>
      <c r="G448" s="1">
        <v>50274</v>
      </c>
      <c r="H448" s="1">
        <v>36309</v>
      </c>
      <c r="I448" s="1">
        <v>13965</v>
      </c>
      <c r="J448" t="s">
        <v>27</v>
      </c>
      <c r="K448" t="s">
        <v>31</v>
      </c>
      <c r="L448" t="s">
        <v>25</v>
      </c>
    </row>
    <row r="449" spans="1:12" x14ac:dyDescent="0.3">
      <c r="A449" t="s">
        <v>497</v>
      </c>
      <c r="B449">
        <v>45963</v>
      </c>
      <c r="C449" t="s">
        <v>39</v>
      </c>
      <c r="D449">
        <v>4</v>
      </c>
      <c r="E449" s="1">
        <v>12500</v>
      </c>
      <c r="F449" s="2">
        <v>0</v>
      </c>
      <c r="G449" s="1">
        <v>50000</v>
      </c>
      <c r="H449" s="1">
        <v>32500</v>
      </c>
      <c r="I449" s="1">
        <v>17500</v>
      </c>
      <c r="J449" t="s">
        <v>23</v>
      </c>
      <c r="K449" t="s">
        <v>66</v>
      </c>
      <c r="L449" t="s">
        <v>16</v>
      </c>
    </row>
    <row r="450" spans="1:12" x14ac:dyDescent="0.3">
      <c r="A450" t="s">
        <v>498</v>
      </c>
      <c r="B450">
        <v>45801</v>
      </c>
      <c r="C450" t="s">
        <v>13</v>
      </c>
      <c r="D450">
        <v>5</v>
      </c>
      <c r="E450" s="1">
        <v>54600</v>
      </c>
      <c r="F450" s="2">
        <v>0.1</v>
      </c>
      <c r="G450" s="1">
        <v>245700</v>
      </c>
      <c r="H450" s="1">
        <v>177450</v>
      </c>
      <c r="I450" s="1">
        <v>68250</v>
      </c>
      <c r="J450" t="s">
        <v>23</v>
      </c>
      <c r="K450" t="s">
        <v>72</v>
      </c>
      <c r="L450" t="s">
        <v>25</v>
      </c>
    </row>
    <row r="451" spans="1:12" x14ac:dyDescent="0.3">
      <c r="A451" t="s">
        <v>499</v>
      </c>
      <c r="B451">
        <v>45694</v>
      </c>
      <c r="C451" t="s">
        <v>18</v>
      </c>
      <c r="D451">
        <v>6</v>
      </c>
      <c r="E451" s="1">
        <v>1800</v>
      </c>
      <c r="F451" s="2">
        <v>0.05</v>
      </c>
      <c r="G451" s="1">
        <v>10260</v>
      </c>
      <c r="H451" s="1">
        <v>7020</v>
      </c>
      <c r="I451" s="1">
        <v>3240</v>
      </c>
      <c r="J451" t="s">
        <v>23</v>
      </c>
      <c r="K451" t="s">
        <v>66</v>
      </c>
      <c r="L451" t="s">
        <v>16</v>
      </c>
    </row>
    <row r="452" spans="1:12" x14ac:dyDescent="0.3">
      <c r="A452" t="s">
        <v>500</v>
      </c>
      <c r="B452">
        <v>45965</v>
      </c>
      <c r="C452" t="s">
        <v>88</v>
      </c>
      <c r="D452">
        <v>5</v>
      </c>
      <c r="E452" s="1">
        <v>1500</v>
      </c>
      <c r="F452" s="2">
        <v>0</v>
      </c>
      <c r="G452" s="1">
        <v>7500</v>
      </c>
      <c r="H452" s="1">
        <v>4875</v>
      </c>
      <c r="I452" s="1">
        <v>2625</v>
      </c>
      <c r="J452" t="s">
        <v>23</v>
      </c>
      <c r="K452" t="s">
        <v>24</v>
      </c>
      <c r="L452" t="s">
        <v>16</v>
      </c>
    </row>
    <row r="453" spans="1:12" x14ac:dyDescent="0.3">
      <c r="A453" t="s">
        <v>501</v>
      </c>
      <c r="B453">
        <v>45922</v>
      </c>
      <c r="C453" t="s">
        <v>51</v>
      </c>
      <c r="D453">
        <v>6</v>
      </c>
      <c r="E453" s="1">
        <v>2600</v>
      </c>
      <c r="F453" s="2">
        <v>0</v>
      </c>
      <c r="G453" s="1">
        <v>15600</v>
      </c>
      <c r="H453" s="1">
        <v>10140</v>
      </c>
      <c r="I453" s="1">
        <v>5460</v>
      </c>
      <c r="J453" t="s">
        <v>14</v>
      </c>
      <c r="K453" t="s">
        <v>36</v>
      </c>
      <c r="L453" t="s">
        <v>21</v>
      </c>
    </row>
    <row r="454" spans="1:12" x14ac:dyDescent="0.3">
      <c r="A454" t="s">
        <v>502</v>
      </c>
      <c r="B454">
        <v>45972</v>
      </c>
      <c r="C454" t="s">
        <v>43</v>
      </c>
      <c r="D454">
        <v>6</v>
      </c>
      <c r="E454" s="1">
        <v>3200</v>
      </c>
      <c r="F454" s="2">
        <v>0.1</v>
      </c>
      <c r="G454" s="1">
        <v>17280</v>
      </c>
      <c r="H454" s="1">
        <v>12480</v>
      </c>
      <c r="I454" s="1">
        <v>4800</v>
      </c>
      <c r="J454" t="s">
        <v>27</v>
      </c>
      <c r="K454" t="s">
        <v>52</v>
      </c>
      <c r="L454" t="s">
        <v>21</v>
      </c>
    </row>
    <row r="455" spans="1:12" x14ac:dyDescent="0.3">
      <c r="A455" t="s">
        <v>503</v>
      </c>
      <c r="B455">
        <v>46139</v>
      </c>
      <c r="C455" t="s">
        <v>13</v>
      </c>
      <c r="D455">
        <v>8</v>
      </c>
      <c r="E455" s="1">
        <v>49400</v>
      </c>
      <c r="F455" s="2">
        <v>0.05</v>
      </c>
      <c r="G455" s="1">
        <v>375440</v>
      </c>
      <c r="H455" s="1">
        <v>256880</v>
      </c>
      <c r="I455" s="1">
        <v>118560</v>
      </c>
      <c r="J455" t="s">
        <v>19</v>
      </c>
      <c r="K455" t="s">
        <v>79</v>
      </c>
      <c r="L455" t="s">
        <v>16</v>
      </c>
    </row>
    <row r="456" spans="1:12" x14ac:dyDescent="0.3">
      <c r="A456" t="s">
        <v>504</v>
      </c>
      <c r="B456">
        <v>45963</v>
      </c>
      <c r="C456" t="s">
        <v>43</v>
      </c>
      <c r="D456">
        <v>3</v>
      </c>
      <c r="E456" s="1">
        <v>3040</v>
      </c>
      <c r="F456" s="2">
        <v>0.05</v>
      </c>
      <c r="G456" s="1">
        <v>8664</v>
      </c>
      <c r="H456" s="1">
        <v>5928</v>
      </c>
      <c r="I456" s="1">
        <v>2736</v>
      </c>
      <c r="J456" t="s">
        <v>14</v>
      </c>
      <c r="K456" t="s">
        <v>36</v>
      </c>
      <c r="L456" t="s">
        <v>25</v>
      </c>
    </row>
    <row r="457" spans="1:12" x14ac:dyDescent="0.3">
      <c r="A457" t="s">
        <v>505</v>
      </c>
      <c r="B457">
        <v>46126</v>
      </c>
      <c r="C457" t="s">
        <v>88</v>
      </c>
      <c r="D457">
        <v>3</v>
      </c>
      <c r="E457" s="1">
        <v>1500</v>
      </c>
      <c r="F457" s="2">
        <v>0</v>
      </c>
      <c r="G457" s="1">
        <v>4500</v>
      </c>
      <c r="H457" s="1">
        <v>2925</v>
      </c>
      <c r="I457" s="1">
        <v>1575</v>
      </c>
      <c r="J457" t="s">
        <v>23</v>
      </c>
      <c r="K457" t="s">
        <v>66</v>
      </c>
      <c r="L457" t="s">
        <v>16</v>
      </c>
    </row>
    <row r="458" spans="1:12" x14ac:dyDescent="0.3">
      <c r="A458" t="s">
        <v>506</v>
      </c>
      <c r="B458">
        <v>45839</v>
      </c>
      <c r="C458" t="s">
        <v>76</v>
      </c>
      <c r="D458">
        <v>1</v>
      </c>
      <c r="E458" s="1">
        <v>665</v>
      </c>
      <c r="F458" s="2">
        <v>0.15</v>
      </c>
      <c r="G458" s="1">
        <v>565.25</v>
      </c>
      <c r="H458" s="1">
        <v>432.25</v>
      </c>
      <c r="I458" s="1">
        <v>133</v>
      </c>
      <c r="J458" t="s">
        <v>27</v>
      </c>
      <c r="K458" t="s">
        <v>28</v>
      </c>
      <c r="L458" t="s">
        <v>21</v>
      </c>
    </row>
    <row r="459" spans="1:12" x14ac:dyDescent="0.3">
      <c r="A459" t="s">
        <v>507</v>
      </c>
      <c r="B459">
        <v>45820</v>
      </c>
      <c r="C459" t="s">
        <v>56</v>
      </c>
      <c r="D459">
        <v>3</v>
      </c>
      <c r="E459" s="1">
        <v>9310</v>
      </c>
      <c r="F459" s="2">
        <v>0.2</v>
      </c>
      <c r="G459" s="1">
        <v>22344</v>
      </c>
      <c r="H459" s="1">
        <v>18154.5</v>
      </c>
      <c r="I459" s="1">
        <v>4189.5</v>
      </c>
      <c r="J459" t="s">
        <v>23</v>
      </c>
      <c r="K459" t="s">
        <v>72</v>
      </c>
      <c r="L459" t="s">
        <v>25</v>
      </c>
    </row>
    <row r="460" spans="1:12" x14ac:dyDescent="0.3">
      <c r="A460" t="s">
        <v>508</v>
      </c>
      <c r="B460">
        <v>46097</v>
      </c>
      <c r="C460" t="s">
        <v>56</v>
      </c>
      <c r="D460">
        <v>1</v>
      </c>
      <c r="E460" s="1">
        <v>10290</v>
      </c>
      <c r="F460" s="2">
        <v>0</v>
      </c>
      <c r="G460" s="1">
        <v>10290</v>
      </c>
      <c r="H460" s="1">
        <v>6688.5</v>
      </c>
      <c r="I460" s="1">
        <v>3601.5</v>
      </c>
      <c r="J460" t="s">
        <v>14</v>
      </c>
      <c r="K460" t="s">
        <v>36</v>
      </c>
      <c r="L460" t="s">
        <v>21</v>
      </c>
    </row>
    <row r="461" spans="1:12" x14ac:dyDescent="0.3">
      <c r="A461" t="s">
        <v>509</v>
      </c>
      <c r="B461">
        <v>45987</v>
      </c>
      <c r="C461" t="s">
        <v>51</v>
      </c>
      <c r="D461">
        <v>1</v>
      </c>
      <c r="E461" s="1">
        <v>2600</v>
      </c>
      <c r="F461" s="2">
        <v>0</v>
      </c>
      <c r="G461" s="1">
        <v>2600</v>
      </c>
      <c r="H461" s="1">
        <v>1690</v>
      </c>
      <c r="I461" s="1">
        <v>910</v>
      </c>
      <c r="J461" t="s">
        <v>14</v>
      </c>
      <c r="K461" t="s">
        <v>40</v>
      </c>
      <c r="L461" t="s">
        <v>16</v>
      </c>
    </row>
    <row r="462" spans="1:12" x14ac:dyDescent="0.3">
      <c r="A462" t="s">
        <v>510</v>
      </c>
      <c r="B462">
        <v>46010</v>
      </c>
      <c r="C462" t="s">
        <v>60</v>
      </c>
      <c r="D462">
        <v>2</v>
      </c>
      <c r="E462" s="1">
        <v>2200</v>
      </c>
      <c r="F462" s="2">
        <v>0.15</v>
      </c>
      <c r="G462" s="1">
        <v>3740</v>
      </c>
      <c r="H462" s="1">
        <v>2860</v>
      </c>
      <c r="I462" s="1">
        <v>880</v>
      </c>
      <c r="J462" t="s">
        <v>27</v>
      </c>
      <c r="K462" t="s">
        <v>28</v>
      </c>
      <c r="L462" t="s">
        <v>21</v>
      </c>
    </row>
    <row r="463" spans="1:12" x14ac:dyDescent="0.3">
      <c r="A463" t="s">
        <v>511</v>
      </c>
      <c r="B463">
        <v>45704</v>
      </c>
      <c r="C463" t="s">
        <v>60</v>
      </c>
      <c r="D463">
        <v>8</v>
      </c>
      <c r="E463" s="1">
        <v>2200</v>
      </c>
      <c r="F463" s="2">
        <v>0.2</v>
      </c>
      <c r="G463" s="1">
        <v>14080</v>
      </c>
      <c r="H463" s="1">
        <v>11440</v>
      </c>
      <c r="I463" s="1">
        <v>2640</v>
      </c>
      <c r="J463" t="s">
        <v>27</v>
      </c>
      <c r="K463" t="s">
        <v>52</v>
      </c>
      <c r="L463" t="s">
        <v>16</v>
      </c>
    </row>
    <row r="464" spans="1:12" x14ac:dyDescent="0.3">
      <c r="A464" t="s">
        <v>512</v>
      </c>
      <c r="B464">
        <v>45795</v>
      </c>
      <c r="C464" t="s">
        <v>76</v>
      </c>
      <c r="D464">
        <v>6</v>
      </c>
      <c r="E464" s="1">
        <v>735</v>
      </c>
      <c r="F464" s="2">
        <v>0.05</v>
      </c>
      <c r="G464" s="1">
        <v>4189.5</v>
      </c>
      <c r="H464" s="1">
        <v>2866.5</v>
      </c>
      <c r="I464" s="1">
        <v>1323</v>
      </c>
      <c r="J464" t="s">
        <v>14</v>
      </c>
      <c r="K464" t="s">
        <v>47</v>
      </c>
      <c r="L464" t="s">
        <v>21</v>
      </c>
    </row>
    <row r="465" spans="1:12" x14ac:dyDescent="0.3">
      <c r="A465" t="s">
        <v>513</v>
      </c>
      <c r="B465">
        <v>45891</v>
      </c>
      <c r="C465" t="s">
        <v>39</v>
      </c>
      <c r="D465">
        <v>4</v>
      </c>
      <c r="E465" s="1">
        <v>12500</v>
      </c>
      <c r="F465" s="2">
        <v>0</v>
      </c>
      <c r="G465" s="1">
        <v>50000</v>
      </c>
      <c r="H465" s="1">
        <v>32500</v>
      </c>
      <c r="I465" s="1">
        <v>17500</v>
      </c>
      <c r="J465" t="s">
        <v>14</v>
      </c>
      <c r="K465" t="s">
        <v>15</v>
      </c>
      <c r="L465" t="s">
        <v>25</v>
      </c>
    </row>
    <row r="466" spans="1:12" x14ac:dyDescent="0.3">
      <c r="A466" t="s">
        <v>514</v>
      </c>
      <c r="B466">
        <v>45696</v>
      </c>
      <c r="C466" t="s">
        <v>43</v>
      </c>
      <c r="D466">
        <v>1</v>
      </c>
      <c r="E466" s="1">
        <v>3200</v>
      </c>
      <c r="F466" s="2">
        <v>0.2</v>
      </c>
      <c r="G466" s="1">
        <v>2560</v>
      </c>
      <c r="H466" s="1">
        <v>2080</v>
      </c>
      <c r="I466" s="1">
        <v>480</v>
      </c>
      <c r="J466" t="s">
        <v>19</v>
      </c>
      <c r="K466" t="s">
        <v>70</v>
      </c>
      <c r="L466" t="s">
        <v>16</v>
      </c>
    </row>
    <row r="467" spans="1:12" x14ac:dyDescent="0.3">
      <c r="A467" t="s">
        <v>515</v>
      </c>
      <c r="B467">
        <v>45678</v>
      </c>
      <c r="C467" t="s">
        <v>13</v>
      </c>
      <c r="D467">
        <v>7</v>
      </c>
      <c r="E467" s="1">
        <v>49400</v>
      </c>
      <c r="F467" s="2">
        <v>0.15</v>
      </c>
      <c r="G467" s="1">
        <v>293930</v>
      </c>
      <c r="H467" s="1">
        <v>224770</v>
      </c>
      <c r="I467" s="1">
        <v>69160</v>
      </c>
      <c r="J467" t="s">
        <v>23</v>
      </c>
      <c r="K467" t="s">
        <v>61</v>
      </c>
      <c r="L467" t="s">
        <v>16</v>
      </c>
    </row>
    <row r="468" spans="1:12" x14ac:dyDescent="0.3">
      <c r="A468" t="s">
        <v>516</v>
      </c>
      <c r="B468">
        <v>45916</v>
      </c>
      <c r="C468" t="s">
        <v>56</v>
      </c>
      <c r="D468">
        <v>4</v>
      </c>
      <c r="E468" s="1">
        <v>9800</v>
      </c>
      <c r="F468" s="2">
        <v>0</v>
      </c>
      <c r="G468" s="1">
        <v>39200</v>
      </c>
      <c r="H468" s="1">
        <v>25480</v>
      </c>
      <c r="I468" s="1">
        <v>13720</v>
      </c>
      <c r="J468" t="s">
        <v>27</v>
      </c>
      <c r="K468" t="s">
        <v>52</v>
      </c>
      <c r="L468" t="s">
        <v>16</v>
      </c>
    </row>
    <row r="469" spans="1:12" x14ac:dyDescent="0.3">
      <c r="A469" t="s">
        <v>517</v>
      </c>
      <c r="B469">
        <v>45761</v>
      </c>
      <c r="C469" t="s">
        <v>51</v>
      </c>
      <c r="D469">
        <v>3</v>
      </c>
      <c r="E469" s="1">
        <v>2600</v>
      </c>
      <c r="F469" s="2">
        <v>0.15</v>
      </c>
      <c r="G469" s="1">
        <v>6630</v>
      </c>
      <c r="H469" s="1">
        <v>5070</v>
      </c>
      <c r="I469" s="1">
        <v>1560</v>
      </c>
      <c r="J469" t="s">
        <v>19</v>
      </c>
      <c r="K469" t="s">
        <v>70</v>
      </c>
      <c r="L469" t="s">
        <v>25</v>
      </c>
    </row>
    <row r="470" spans="1:12" x14ac:dyDescent="0.3">
      <c r="A470" t="s">
        <v>518</v>
      </c>
      <c r="B470">
        <v>45774</v>
      </c>
      <c r="C470" t="s">
        <v>30</v>
      </c>
      <c r="D470">
        <v>4</v>
      </c>
      <c r="E470" s="1">
        <v>682.5</v>
      </c>
      <c r="F470" s="2">
        <v>0.2</v>
      </c>
      <c r="G470" s="1">
        <v>2184</v>
      </c>
      <c r="H470" s="1">
        <v>1774.5</v>
      </c>
      <c r="I470" s="1">
        <v>409.5</v>
      </c>
      <c r="J470" t="s">
        <v>14</v>
      </c>
      <c r="K470" t="s">
        <v>36</v>
      </c>
      <c r="L470" t="s">
        <v>16</v>
      </c>
    </row>
    <row r="471" spans="1:12" x14ac:dyDescent="0.3">
      <c r="A471" t="s">
        <v>519</v>
      </c>
      <c r="B471">
        <v>45864</v>
      </c>
      <c r="C471" t="s">
        <v>76</v>
      </c>
      <c r="D471">
        <v>5</v>
      </c>
      <c r="E471" s="1">
        <v>735</v>
      </c>
      <c r="F471" s="2">
        <v>0.05</v>
      </c>
      <c r="G471" s="1">
        <v>3491.25</v>
      </c>
      <c r="H471" s="1">
        <v>2388.75</v>
      </c>
      <c r="I471" s="1">
        <v>1102.5</v>
      </c>
      <c r="J471" t="s">
        <v>19</v>
      </c>
      <c r="K471" t="s">
        <v>79</v>
      </c>
      <c r="L471" t="s">
        <v>21</v>
      </c>
    </row>
    <row r="472" spans="1:12" x14ac:dyDescent="0.3">
      <c r="A472" t="s">
        <v>520</v>
      </c>
      <c r="B472">
        <v>46150</v>
      </c>
      <c r="C472" t="s">
        <v>76</v>
      </c>
      <c r="D472">
        <v>1</v>
      </c>
      <c r="E472" s="1">
        <v>700</v>
      </c>
      <c r="F472" s="2">
        <v>0</v>
      </c>
      <c r="G472" s="1">
        <v>700</v>
      </c>
      <c r="H472" s="1">
        <v>455</v>
      </c>
      <c r="I472" s="1">
        <v>245</v>
      </c>
      <c r="J472" t="s">
        <v>19</v>
      </c>
      <c r="K472" t="s">
        <v>70</v>
      </c>
      <c r="L472" t="s">
        <v>16</v>
      </c>
    </row>
    <row r="473" spans="1:12" x14ac:dyDescent="0.3">
      <c r="A473" t="s">
        <v>521</v>
      </c>
      <c r="B473">
        <v>46163</v>
      </c>
      <c r="C473" t="s">
        <v>88</v>
      </c>
      <c r="D473">
        <v>2</v>
      </c>
      <c r="E473" s="1">
        <v>1425</v>
      </c>
      <c r="F473" s="2">
        <v>0</v>
      </c>
      <c r="G473" s="1">
        <v>2850</v>
      </c>
      <c r="H473" s="1">
        <v>1852.5</v>
      </c>
      <c r="I473" s="1">
        <v>997.5</v>
      </c>
      <c r="J473" t="s">
        <v>27</v>
      </c>
      <c r="K473" t="s">
        <v>28</v>
      </c>
      <c r="L473" t="s">
        <v>25</v>
      </c>
    </row>
    <row r="474" spans="1:12" x14ac:dyDescent="0.3">
      <c r="A474" t="s">
        <v>522</v>
      </c>
      <c r="B474">
        <v>45961</v>
      </c>
      <c r="C474" t="s">
        <v>60</v>
      </c>
      <c r="D474">
        <v>1</v>
      </c>
      <c r="E474" s="1">
        <v>2310</v>
      </c>
      <c r="F474" s="2">
        <v>0</v>
      </c>
      <c r="G474" s="1">
        <v>2310</v>
      </c>
      <c r="H474" s="1">
        <v>1501.5</v>
      </c>
      <c r="I474" s="1">
        <v>808.5</v>
      </c>
      <c r="J474" t="s">
        <v>14</v>
      </c>
      <c r="K474" t="s">
        <v>15</v>
      </c>
      <c r="L474" t="s">
        <v>25</v>
      </c>
    </row>
    <row r="475" spans="1:12" x14ac:dyDescent="0.3">
      <c r="A475" t="s">
        <v>523</v>
      </c>
      <c r="B475">
        <v>46026</v>
      </c>
      <c r="C475" t="s">
        <v>76</v>
      </c>
      <c r="D475">
        <v>2</v>
      </c>
      <c r="E475" s="1">
        <v>735</v>
      </c>
      <c r="F475" s="2">
        <v>0</v>
      </c>
      <c r="G475" s="1">
        <v>1470</v>
      </c>
      <c r="H475" s="1">
        <v>955.5</v>
      </c>
      <c r="I475" s="1">
        <v>514.5</v>
      </c>
      <c r="J475" t="s">
        <v>19</v>
      </c>
      <c r="K475" t="s">
        <v>70</v>
      </c>
      <c r="L475" t="s">
        <v>21</v>
      </c>
    </row>
    <row r="476" spans="1:12" x14ac:dyDescent="0.3">
      <c r="A476" t="s">
        <v>524</v>
      </c>
      <c r="B476">
        <v>45832</v>
      </c>
      <c r="C476" t="s">
        <v>76</v>
      </c>
      <c r="D476">
        <v>8</v>
      </c>
      <c r="E476" s="1">
        <v>700</v>
      </c>
      <c r="F476" s="2">
        <v>0.2</v>
      </c>
      <c r="G476" s="1">
        <v>4480</v>
      </c>
      <c r="H476" s="1">
        <v>3640</v>
      </c>
      <c r="I476" s="1">
        <v>840</v>
      </c>
      <c r="J476" t="s">
        <v>27</v>
      </c>
      <c r="K476" t="s">
        <v>49</v>
      </c>
      <c r="L476" t="s">
        <v>25</v>
      </c>
    </row>
    <row r="477" spans="1:12" x14ac:dyDescent="0.3">
      <c r="A477" t="s">
        <v>525</v>
      </c>
      <c r="B477">
        <v>46008</v>
      </c>
      <c r="C477" t="s">
        <v>88</v>
      </c>
      <c r="D477">
        <v>7</v>
      </c>
      <c r="E477" s="1">
        <v>1425</v>
      </c>
      <c r="F477" s="2">
        <v>0.15</v>
      </c>
      <c r="G477" s="1">
        <v>8478.75</v>
      </c>
      <c r="H477" s="1">
        <v>6483.75</v>
      </c>
      <c r="I477" s="1">
        <v>1995</v>
      </c>
      <c r="J477" t="s">
        <v>23</v>
      </c>
      <c r="K477" t="s">
        <v>66</v>
      </c>
      <c r="L477" t="s">
        <v>25</v>
      </c>
    </row>
    <row r="478" spans="1:12" x14ac:dyDescent="0.3">
      <c r="A478" t="s">
        <v>526</v>
      </c>
      <c r="B478">
        <v>46147</v>
      </c>
      <c r="C478" t="s">
        <v>43</v>
      </c>
      <c r="D478">
        <v>2</v>
      </c>
      <c r="E478" s="1">
        <v>3200</v>
      </c>
      <c r="F478" s="2">
        <v>0.05</v>
      </c>
      <c r="G478" s="1">
        <v>6080</v>
      </c>
      <c r="H478" s="1">
        <v>4160</v>
      </c>
      <c r="I478" s="1">
        <v>1920</v>
      </c>
      <c r="J478" t="s">
        <v>19</v>
      </c>
      <c r="K478" t="s">
        <v>20</v>
      </c>
      <c r="L478" t="s">
        <v>21</v>
      </c>
    </row>
    <row r="479" spans="1:12" x14ac:dyDescent="0.3">
      <c r="A479" t="s">
        <v>527</v>
      </c>
      <c r="B479">
        <v>46084</v>
      </c>
      <c r="C479" t="s">
        <v>18</v>
      </c>
      <c r="D479">
        <v>8</v>
      </c>
      <c r="E479" s="1">
        <v>1890</v>
      </c>
      <c r="F479" s="2">
        <v>0.05</v>
      </c>
      <c r="G479" s="1">
        <v>14364</v>
      </c>
      <c r="H479" s="1">
        <v>9828</v>
      </c>
      <c r="I479" s="1">
        <v>4536</v>
      </c>
      <c r="J479" t="s">
        <v>23</v>
      </c>
      <c r="K479" t="s">
        <v>66</v>
      </c>
      <c r="L479" t="s">
        <v>16</v>
      </c>
    </row>
    <row r="480" spans="1:12" x14ac:dyDescent="0.3">
      <c r="A480" t="s">
        <v>528</v>
      </c>
      <c r="B480">
        <v>45687</v>
      </c>
      <c r="C480" t="s">
        <v>88</v>
      </c>
      <c r="D480">
        <v>8</v>
      </c>
      <c r="E480" s="1">
        <v>1575</v>
      </c>
      <c r="F480" s="2">
        <v>0</v>
      </c>
      <c r="G480" s="1">
        <v>12600</v>
      </c>
      <c r="H480" s="1">
        <v>8190</v>
      </c>
      <c r="I480" s="1">
        <v>4410</v>
      </c>
      <c r="J480" t="s">
        <v>23</v>
      </c>
      <c r="K480" t="s">
        <v>72</v>
      </c>
      <c r="L480" t="s">
        <v>21</v>
      </c>
    </row>
    <row r="481" spans="1:12" x14ac:dyDescent="0.3">
      <c r="A481" t="s">
        <v>529</v>
      </c>
      <c r="B481">
        <v>45722</v>
      </c>
      <c r="C481" t="s">
        <v>60</v>
      </c>
      <c r="D481">
        <v>1</v>
      </c>
      <c r="E481" s="1">
        <v>2200</v>
      </c>
      <c r="F481" s="2">
        <v>0.2</v>
      </c>
      <c r="G481" s="1">
        <v>1760</v>
      </c>
      <c r="H481" s="1">
        <v>1430</v>
      </c>
      <c r="I481" s="1">
        <v>330</v>
      </c>
      <c r="J481" t="s">
        <v>14</v>
      </c>
      <c r="K481" t="s">
        <v>36</v>
      </c>
      <c r="L481" t="s">
        <v>16</v>
      </c>
    </row>
    <row r="482" spans="1:12" x14ac:dyDescent="0.3">
      <c r="A482" t="s">
        <v>530</v>
      </c>
      <c r="B482">
        <v>46193</v>
      </c>
      <c r="C482" t="s">
        <v>18</v>
      </c>
      <c r="D482">
        <v>7</v>
      </c>
      <c r="E482" s="1">
        <v>1710</v>
      </c>
      <c r="F482" s="2">
        <v>0.05</v>
      </c>
      <c r="G482" s="1">
        <v>11371.5</v>
      </c>
      <c r="H482" s="1">
        <v>7780.5</v>
      </c>
      <c r="I482" s="1">
        <v>3591</v>
      </c>
      <c r="J482" t="s">
        <v>23</v>
      </c>
      <c r="K482" t="s">
        <v>66</v>
      </c>
      <c r="L482" t="s">
        <v>310</v>
      </c>
    </row>
    <row r="483" spans="1:12" x14ac:dyDescent="0.3">
      <c r="A483" t="s">
        <v>531</v>
      </c>
      <c r="B483">
        <v>46052</v>
      </c>
      <c r="C483" t="s">
        <v>88</v>
      </c>
      <c r="D483">
        <v>1</v>
      </c>
      <c r="E483" s="1">
        <v>1425</v>
      </c>
      <c r="F483" s="2">
        <v>0.05</v>
      </c>
      <c r="G483" s="1">
        <v>1353.75</v>
      </c>
      <c r="H483" s="1">
        <v>926.25</v>
      </c>
      <c r="I483" s="1">
        <v>427.5</v>
      </c>
      <c r="J483" t="s">
        <v>23</v>
      </c>
      <c r="K483" t="s">
        <v>72</v>
      </c>
      <c r="L483" t="s">
        <v>21</v>
      </c>
    </row>
    <row r="484" spans="1:12" x14ac:dyDescent="0.3">
      <c r="A484" t="s">
        <v>532</v>
      </c>
      <c r="B484">
        <v>45734</v>
      </c>
      <c r="C484" t="s">
        <v>56</v>
      </c>
      <c r="D484">
        <v>4</v>
      </c>
      <c r="E484" s="1">
        <v>9800</v>
      </c>
      <c r="F484" s="2">
        <v>0.1</v>
      </c>
      <c r="G484" s="1">
        <v>35280</v>
      </c>
      <c r="H484" s="1">
        <v>25480</v>
      </c>
      <c r="I484" s="1">
        <v>9800</v>
      </c>
      <c r="J484" t="s">
        <v>27</v>
      </c>
      <c r="K484" t="s">
        <v>49</v>
      </c>
      <c r="L484" t="s">
        <v>16</v>
      </c>
    </row>
    <row r="485" spans="1:12" x14ac:dyDescent="0.3">
      <c r="A485" t="s">
        <v>533</v>
      </c>
      <c r="B485">
        <v>45886</v>
      </c>
      <c r="C485" t="s">
        <v>51</v>
      </c>
      <c r="D485">
        <v>7</v>
      </c>
      <c r="E485" s="1">
        <v>2730</v>
      </c>
      <c r="F485" s="2">
        <v>0.05</v>
      </c>
      <c r="G485" s="1">
        <v>18154.5</v>
      </c>
      <c r="H485" s="1">
        <v>12421.5</v>
      </c>
      <c r="I485" s="1">
        <v>5733</v>
      </c>
      <c r="J485" t="s">
        <v>19</v>
      </c>
      <c r="K485" t="s">
        <v>79</v>
      </c>
      <c r="L485" t="s">
        <v>25</v>
      </c>
    </row>
    <row r="486" spans="1:12" x14ac:dyDescent="0.3">
      <c r="A486" t="s">
        <v>534</v>
      </c>
      <c r="B486">
        <v>46116</v>
      </c>
      <c r="C486" t="s">
        <v>30</v>
      </c>
      <c r="D486">
        <v>8</v>
      </c>
      <c r="E486" s="1">
        <v>682.5</v>
      </c>
      <c r="F486" s="2">
        <v>0.1</v>
      </c>
      <c r="G486" s="1">
        <v>4914</v>
      </c>
      <c r="H486" s="1">
        <v>3549</v>
      </c>
      <c r="I486" s="1">
        <v>1365</v>
      </c>
      <c r="J486" t="s">
        <v>19</v>
      </c>
      <c r="K486" t="s">
        <v>79</v>
      </c>
      <c r="L486" t="s">
        <v>16</v>
      </c>
    </row>
    <row r="487" spans="1:12" x14ac:dyDescent="0.3">
      <c r="A487" t="s">
        <v>535</v>
      </c>
      <c r="B487">
        <v>45676</v>
      </c>
      <c r="C487" t="s">
        <v>30</v>
      </c>
      <c r="D487">
        <v>7</v>
      </c>
      <c r="E487" s="1">
        <v>682.5</v>
      </c>
      <c r="F487" s="2">
        <v>0</v>
      </c>
      <c r="G487" s="1">
        <v>4777.5</v>
      </c>
      <c r="H487" s="1">
        <v>3105.38</v>
      </c>
      <c r="I487" s="1">
        <v>1672.12</v>
      </c>
      <c r="J487" t="s">
        <v>19</v>
      </c>
      <c r="K487" t="s">
        <v>70</v>
      </c>
      <c r="L487" t="s">
        <v>16</v>
      </c>
    </row>
    <row r="488" spans="1:12" x14ac:dyDescent="0.3">
      <c r="A488" t="s">
        <v>536</v>
      </c>
      <c r="B488">
        <v>45969</v>
      </c>
      <c r="C488" t="s">
        <v>51</v>
      </c>
      <c r="D488">
        <v>8</v>
      </c>
      <c r="E488" s="1">
        <v>2600</v>
      </c>
      <c r="F488" s="2">
        <v>0.1</v>
      </c>
      <c r="G488" s="1">
        <v>18720</v>
      </c>
      <c r="H488" s="1">
        <v>13520</v>
      </c>
      <c r="I488" s="1">
        <v>5200</v>
      </c>
      <c r="J488" t="s">
        <v>27</v>
      </c>
      <c r="K488" t="s">
        <v>49</v>
      </c>
      <c r="L488" t="s">
        <v>21</v>
      </c>
    </row>
    <row r="489" spans="1:12" x14ac:dyDescent="0.3">
      <c r="A489" t="s">
        <v>537</v>
      </c>
      <c r="B489">
        <v>46123</v>
      </c>
      <c r="C489" t="s">
        <v>76</v>
      </c>
      <c r="D489">
        <v>6</v>
      </c>
      <c r="E489" s="1">
        <v>735</v>
      </c>
      <c r="F489" s="2">
        <v>0.15</v>
      </c>
      <c r="G489" s="1">
        <v>3748.5</v>
      </c>
      <c r="H489" s="1">
        <v>2866.5</v>
      </c>
      <c r="I489" s="1">
        <v>882</v>
      </c>
      <c r="J489" t="s">
        <v>19</v>
      </c>
      <c r="K489" t="s">
        <v>70</v>
      </c>
      <c r="L489" t="s">
        <v>16</v>
      </c>
    </row>
    <row r="490" spans="1:12" x14ac:dyDescent="0.3">
      <c r="A490" t="s">
        <v>538</v>
      </c>
      <c r="B490">
        <v>45885</v>
      </c>
      <c r="C490" t="s">
        <v>13</v>
      </c>
      <c r="D490">
        <v>6</v>
      </c>
      <c r="E490" s="1">
        <v>52000</v>
      </c>
      <c r="F490" s="2">
        <v>0.1</v>
      </c>
      <c r="G490" s="1">
        <v>280800</v>
      </c>
      <c r="H490" s="1">
        <v>202800</v>
      </c>
      <c r="I490" s="1">
        <v>78000</v>
      </c>
      <c r="J490" t="s">
        <v>27</v>
      </c>
      <c r="K490" t="s">
        <v>49</v>
      </c>
      <c r="L490" t="s">
        <v>21</v>
      </c>
    </row>
    <row r="491" spans="1:12" x14ac:dyDescent="0.3">
      <c r="A491" t="s">
        <v>539</v>
      </c>
      <c r="B491">
        <v>45826</v>
      </c>
      <c r="C491" t="s">
        <v>56</v>
      </c>
      <c r="D491">
        <v>7</v>
      </c>
      <c r="E491" s="1">
        <v>9800</v>
      </c>
      <c r="F491" s="2">
        <v>0</v>
      </c>
      <c r="G491" s="1">
        <v>68600</v>
      </c>
      <c r="H491" s="1">
        <v>44590</v>
      </c>
      <c r="I491" s="1">
        <v>24010</v>
      </c>
      <c r="J491" t="s">
        <v>27</v>
      </c>
      <c r="K491" t="s">
        <v>28</v>
      </c>
      <c r="L491" t="s">
        <v>21</v>
      </c>
    </row>
    <row r="492" spans="1:12" x14ac:dyDescent="0.3">
      <c r="A492" t="s">
        <v>540</v>
      </c>
      <c r="B492">
        <v>45781</v>
      </c>
      <c r="C492" t="s">
        <v>43</v>
      </c>
      <c r="D492">
        <v>8</v>
      </c>
      <c r="E492" s="1">
        <v>3200</v>
      </c>
      <c r="F492" s="2">
        <v>0.05</v>
      </c>
      <c r="G492" s="1">
        <v>24320</v>
      </c>
      <c r="H492" s="1">
        <v>16640</v>
      </c>
      <c r="I492" s="1">
        <v>7680</v>
      </c>
      <c r="J492" t="s">
        <v>27</v>
      </c>
      <c r="K492" t="s">
        <v>49</v>
      </c>
      <c r="L492" t="s">
        <v>25</v>
      </c>
    </row>
    <row r="493" spans="1:12" x14ac:dyDescent="0.3">
      <c r="A493" t="s">
        <v>541</v>
      </c>
      <c r="B493">
        <v>45705</v>
      </c>
      <c r="C493" t="s">
        <v>18</v>
      </c>
      <c r="D493">
        <v>8</v>
      </c>
      <c r="E493" s="1">
        <v>1710</v>
      </c>
      <c r="F493" s="2">
        <v>0.15</v>
      </c>
      <c r="G493" s="1">
        <v>11628</v>
      </c>
      <c r="H493" s="1">
        <v>8892</v>
      </c>
      <c r="I493" s="1">
        <v>2736</v>
      </c>
      <c r="J493" t="s">
        <v>14</v>
      </c>
      <c r="K493" t="s">
        <v>47</v>
      </c>
      <c r="L493" t="s">
        <v>21</v>
      </c>
    </row>
    <row r="494" spans="1:12" x14ac:dyDescent="0.3">
      <c r="A494" t="s">
        <v>542</v>
      </c>
      <c r="B494">
        <v>46201</v>
      </c>
      <c r="C494" t="s">
        <v>13</v>
      </c>
      <c r="D494">
        <v>8</v>
      </c>
      <c r="E494" s="1">
        <v>54600</v>
      </c>
      <c r="F494" s="2">
        <v>0.2</v>
      </c>
      <c r="G494" s="1">
        <v>349440</v>
      </c>
      <c r="H494" s="1">
        <v>283920</v>
      </c>
      <c r="I494" s="1">
        <v>65520</v>
      </c>
      <c r="J494" t="s">
        <v>14</v>
      </c>
      <c r="K494" t="s">
        <v>40</v>
      </c>
      <c r="L494" t="s">
        <v>16</v>
      </c>
    </row>
    <row r="495" spans="1:12" x14ac:dyDescent="0.3">
      <c r="A495" t="s">
        <v>543</v>
      </c>
      <c r="B495">
        <v>45789</v>
      </c>
      <c r="C495" t="s">
        <v>30</v>
      </c>
      <c r="D495">
        <v>6</v>
      </c>
      <c r="E495" s="1">
        <v>682.5</v>
      </c>
      <c r="F495" s="2">
        <v>0.2</v>
      </c>
      <c r="G495" s="1">
        <v>3276</v>
      </c>
      <c r="H495" s="1">
        <v>2661.75</v>
      </c>
      <c r="I495" s="1">
        <v>614.25</v>
      </c>
      <c r="J495" t="s">
        <v>23</v>
      </c>
      <c r="K495" t="s">
        <v>72</v>
      </c>
      <c r="L495" t="s">
        <v>16</v>
      </c>
    </row>
    <row r="496" spans="1:12" x14ac:dyDescent="0.3">
      <c r="A496" t="s">
        <v>544</v>
      </c>
      <c r="B496">
        <v>45912</v>
      </c>
      <c r="C496" t="s">
        <v>60</v>
      </c>
      <c r="D496">
        <v>6</v>
      </c>
      <c r="E496" s="1">
        <v>2310</v>
      </c>
      <c r="F496" s="2">
        <v>0.1</v>
      </c>
      <c r="G496" s="1">
        <v>12474</v>
      </c>
      <c r="H496" s="1">
        <v>9009</v>
      </c>
      <c r="I496" s="1">
        <v>3465</v>
      </c>
      <c r="J496" t="s">
        <v>23</v>
      </c>
      <c r="K496" t="s">
        <v>24</v>
      </c>
      <c r="L496" t="s">
        <v>21</v>
      </c>
    </row>
    <row r="497" spans="1:12" x14ac:dyDescent="0.3">
      <c r="A497" t="s">
        <v>545</v>
      </c>
      <c r="B497">
        <v>46080</v>
      </c>
      <c r="C497" t="s">
        <v>18</v>
      </c>
      <c r="D497">
        <v>6</v>
      </c>
      <c r="E497" s="1">
        <v>1800</v>
      </c>
      <c r="F497" s="2">
        <v>0.2</v>
      </c>
      <c r="G497" s="1">
        <v>8640</v>
      </c>
      <c r="H497" s="1">
        <v>7020</v>
      </c>
      <c r="I497" s="1">
        <v>1620</v>
      </c>
      <c r="J497" t="s">
        <v>14</v>
      </c>
      <c r="K497" t="s">
        <v>40</v>
      </c>
      <c r="L497" t="s">
        <v>21</v>
      </c>
    </row>
    <row r="498" spans="1:12" x14ac:dyDescent="0.3">
      <c r="A498" t="s">
        <v>546</v>
      </c>
      <c r="B498">
        <v>45955</v>
      </c>
      <c r="C498" t="s">
        <v>76</v>
      </c>
      <c r="D498">
        <v>3</v>
      </c>
      <c r="E498" s="1">
        <v>700</v>
      </c>
      <c r="F498" s="2">
        <v>0.2</v>
      </c>
      <c r="G498" s="1">
        <v>1680</v>
      </c>
      <c r="H498" s="1">
        <v>1365</v>
      </c>
      <c r="I498" s="1">
        <v>315</v>
      </c>
      <c r="J498" t="s">
        <v>27</v>
      </c>
      <c r="K498" t="s">
        <v>49</v>
      </c>
      <c r="L498" t="s">
        <v>25</v>
      </c>
    </row>
    <row r="499" spans="1:12" x14ac:dyDescent="0.3">
      <c r="A499" t="s">
        <v>547</v>
      </c>
      <c r="B499">
        <v>46149</v>
      </c>
      <c r="C499" t="s">
        <v>18</v>
      </c>
      <c r="D499">
        <v>5</v>
      </c>
      <c r="E499" s="1">
        <v>1890</v>
      </c>
      <c r="F499" s="2">
        <v>0.15</v>
      </c>
      <c r="G499" s="1">
        <v>8032.5</v>
      </c>
      <c r="H499" s="1">
        <v>6142.5</v>
      </c>
      <c r="I499" s="1">
        <v>1890</v>
      </c>
      <c r="J499" t="s">
        <v>19</v>
      </c>
      <c r="K499" t="s">
        <v>70</v>
      </c>
      <c r="L499" t="s">
        <v>21</v>
      </c>
    </row>
    <row r="500" spans="1:12" x14ac:dyDescent="0.3">
      <c r="A500" t="s">
        <v>548</v>
      </c>
      <c r="B500">
        <v>46048</v>
      </c>
      <c r="C500" t="s">
        <v>88</v>
      </c>
      <c r="D500">
        <v>1</v>
      </c>
      <c r="E500" s="1">
        <v>1425</v>
      </c>
      <c r="F500" s="2">
        <v>0.05</v>
      </c>
      <c r="G500" s="1">
        <v>1353.75</v>
      </c>
      <c r="H500" s="1">
        <v>926.25</v>
      </c>
      <c r="I500" s="1">
        <v>427.5</v>
      </c>
      <c r="J500" t="s">
        <v>27</v>
      </c>
      <c r="K500" t="s">
        <v>28</v>
      </c>
      <c r="L500" t="s">
        <v>25</v>
      </c>
    </row>
    <row r="501" spans="1:12" x14ac:dyDescent="0.3">
      <c r="A501" t="s">
        <v>549</v>
      </c>
      <c r="B501">
        <v>45914</v>
      </c>
      <c r="C501" t="s">
        <v>88</v>
      </c>
      <c r="D501">
        <v>5</v>
      </c>
      <c r="E501" s="1">
        <v>1425</v>
      </c>
      <c r="F501" s="2">
        <v>0.05</v>
      </c>
      <c r="G501" s="1">
        <v>6768.75</v>
      </c>
      <c r="H501" s="1">
        <v>4631.25</v>
      </c>
      <c r="I501" s="1">
        <v>2137.5</v>
      </c>
      <c r="J501" t="s">
        <v>19</v>
      </c>
      <c r="K501" t="s">
        <v>34</v>
      </c>
      <c r="L501" t="s">
        <v>25</v>
      </c>
    </row>
    <row r="502" spans="1:12" x14ac:dyDescent="0.3">
      <c r="A502" t="s">
        <v>550</v>
      </c>
      <c r="B502">
        <v>45762</v>
      </c>
      <c r="C502" t="s">
        <v>18</v>
      </c>
      <c r="D502">
        <v>7</v>
      </c>
      <c r="E502" s="1">
        <v>1800</v>
      </c>
      <c r="F502" s="2">
        <v>0.05</v>
      </c>
      <c r="G502" s="1">
        <v>11970</v>
      </c>
      <c r="H502" s="1">
        <v>8190</v>
      </c>
      <c r="I502" s="1">
        <v>3780</v>
      </c>
      <c r="J502" t="s">
        <v>27</v>
      </c>
      <c r="K502" t="s">
        <v>49</v>
      </c>
      <c r="L502" t="s">
        <v>25</v>
      </c>
    </row>
    <row r="503" spans="1:12" x14ac:dyDescent="0.3">
      <c r="A503" t="s">
        <v>551</v>
      </c>
      <c r="B503">
        <v>46054</v>
      </c>
      <c r="C503" t="s">
        <v>43</v>
      </c>
      <c r="D503">
        <v>1</v>
      </c>
      <c r="E503" s="1">
        <v>3200</v>
      </c>
      <c r="F503" s="2">
        <v>0</v>
      </c>
      <c r="G503" s="1">
        <v>3200</v>
      </c>
      <c r="H503" s="1">
        <v>2080</v>
      </c>
      <c r="I503" s="1">
        <v>1120</v>
      </c>
      <c r="J503" t="s">
        <v>27</v>
      </c>
      <c r="K503" t="s">
        <v>28</v>
      </c>
      <c r="L503" t="s">
        <v>16</v>
      </c>
    </row>
    <row r="504" spans="1:12" x14ac:dyDescent="0.3">
      <c r="A504" t="s">
        <v>552</v>
      </c>
      <c r="B504">
        <v>46111</v>
      </c>
      <c r="C504" t="s">
        <v>39</v>
      </c>
      <c r="D504">
        <v>4</v>
      </c>
      <c r="E504" s="1">
        <v>12500</v>
      </c>
      <c r="F504" s="2">
        <v>0.05</v>
      </c>
      <c r="G504" s="1">
        <v>47500</v>
      </c>
      <c r="H504" s="1">
        <v>32500</v>
      </c>
      <c r="I504" s="1">
        <v>15000</v>
      </c>
      <c r="J504" t="s">
        <v>27</v>
      </c>
      <c r="K504" t="s">
        <v>52</v>
      </c>
      <c r="L504" t="s">
        <v>21</v>
      </c>
    </row>
    <row r="505" spans="1:12" x14ac:dyDescent="0.3">
      <c r="A505" t="s">
        <v>553</v>
      </c>
      <c r="B505">
        <v>45734</v>
      </c>
      <c r="C505" t="s">
        <v>88</v>
      </c>
      <c r="D505">
        <v>2</v>
      </c>
      <c r="E505" s="1">
        <v>1500</v>
      </c>
      <c r="F505" s="2">
        <v>0.15</v>
      </c>
      <c r="G505" s="1">
        <v>2550</v>
      </c>
      <c r="H505" s="1">
        <v>1950</v>
      </c>
      <c r="I505" s="1">
        <v>600</v>
      </c>
      <c r="J505" t="s">
        <v>19</v>
      </c>
      <c r="K505" t="s">
        <v>79</v>
      </c>
      <c r="L505" t="s">
        <v>25</v>
      </c>
    </row>
    <row r="506" spans="1:12" x14ac:dyDescent="0.3">
      <c r="A506" t="s">
        <v>554</v>
      </c>
      <c r="B506">
        <v>45928</v>
      </c>
      <c r="C506" t="s">
        <v>88</v>
      </c>
      <c r="D506">
        <v>5</v>
      </c>
      <c r="E506" s="1">
        <v>1500</v>
      </c>
      <c r="F506" s="2">
        <v>0</v>
      </c>
      <c r="G506" s="1">
        <v>7500</v>
      </c>
      <c r="H506" s="1">
        <v>4875</v>
      </c>
      <c r="I506" s="1">
        <v>2625</v>
      </c>
      <c r="J506" t="s">
        <v>27</v>
      </c>
      <c r="K506" t="s">
        <v>52</v>
      </c>
      <c r="L506" t="s">
        <v>16</v>
      </c>
    </row>
    <row r="507" spans="1:12" x14ac:dyDescent="0.3">
      <c r="A507" t="s">
        <v>555</v>
      </c>
      <c r="B507">
        <v>45816</v>
      </c>
      <c r="C507" t="s">
        <v>13</v>
      </c>
      <c r="D507">
        <v>6</v>
      </c>
      <c r="E507" s="1">
        <v>52000</v>
      </c>
      <c r="F507" s="2">
        <v>0.2</v>
      </c>
      <c r="G507" s="1">
        <v>249600</v>
      </c>
      <c r="H507" s="1">
        <v>202800</v>
      </c>
      <c r="I507" s="1">
        <v>46800</v>
      </c>
      <c r="J507" t="s">
        <v>19</v>
      </c>
      <c r="K507" t="s">
        <v>34</v>
      </c>
      <c r="L507" t="s">
        <v>25</v>
      </c>
    </row>
    <row r="508" spans="1:12" x14ac:dyDescent="0.3">
      <c r="A508" t="s">
        <v>556</v>
      </c>
      <c r="B508">
        <v>46024</v>
      </c>
      <c r="C508" t="s">
        <v>30</v>
      </c>
      <c r="D508">
        <v>4</v>
      </c>
      <c r="E508" s="1">
        <v>650</v>
      </c>
      <c r="F508" s="2">
        <v>0.05</v>
      </c>
      <c r="G508" s="1">
        <v>2470</v>
      </c>
      <c r="H508" s="1">
        <v>1690</v>
      </c>
      <c r="I508" s="1">
        <v>780</v>
      </c>
      <c r="J508" t="s">
        <v>19</v>
      </c>
      <c r="K508" t="s">
        <v>20</v>
      </c>
      <c r="L508" t="s">
        <v>25</v>
      </c>
    </row>
    <row r="509" spans="1:12" x14ac:dyDescent="0.3">
      <c r="A509" t="s">
        <v>557</v>
      </c>
      <c r="B509">
        <v>46071</v>
      </c>
      <c r="C509" t="s">
        <v>30</v>
      </c>
      <c r="D509">
        <v>4</v>
      </c>
      <c r="E509" s="1">
        <v>650</v>
      </c>
      <c r="F509" s="2">
        <v>0.05</v>
      </c>
      <c r="G509" s="1">
        <v>2470</v>
      </c>
      <c r="H509" s="1">
        <v>1690</v>
      </c>
      <c r="I509" s="1">
        <v>780</v>
      </c>
      <c r="J509" t="s">
        <v>27</v>
      </c>
      <c r="K509" t="s">
        <v>31</v>
      </c>
      <c r="L509" t="s">
        <v>25</v>
      </c>
    </row>
    <row r="510" spans="1:12" x14ac:dyDescent="0.3">
      <c r="A510" t="s">
        <v>558</v>
      </c>
      <c r="B510">
        <v>45958</v>
      </c>
      <c r="C510" t="s">
        <v>39</v>
      </c>
      <c r="D510">
        <v>1</v>
      </c>
      <c r="E510" s="1">
        <v>13125</v>
      </c>
      <c r="F510" s="2">
        <v>0</v>
      </c>
      <c r="G510" s="1">
        <v>13125</v>
      </c>
      <c r="H510" s="1">
        <v>8531.25</v>
      </c>
      <c r="I510" s="1">
        <v>4593.75</v>
      </c>
      <c r="J510" t="s">
        <v>27</v>
      </c>
      <c r="K510" t="s">
        <v>52</v>
      </c>
      <c r="L510" t="s">
        <v>21</v>
      </c>
    </row>
    <row r="511" spans="1:12" x14ac:dyDescent="0.3">
      <c r="A511" t="s">
        <v>559</v>
      </c>
      <c r="B511">
        <v>45907</v>
      </c>
      <c r="C511" t="s">
        <v>13</v>
      </c>
      <c r="D511">
        <v>7</v>
      </c>
      <c r="E511" s="1">
        <v>52000</v>
      </c>
      <c r="F511" s="2">
        <v>0</v>
      </c>
      <c r="G511" s="1">
        <v>364000</v>
      </c>
      <c r="H511" s="1">
        <v>236600</v>
      </c>
      <c r="I511" s="1">
        <v>127400</v>
      </c>
      <c r="J511" t="s">
        <v>23</v>
      </c>
      <c r="K511" t="s">
        <v>66</v>
      </c>
      <c r="L511" t="s">
        <v>16</v>
      </c>
    </row>
    <row r="512" spans="1:12" x14ac:dyDescent="0.3">
      <c r="A512" t="s">
        <v>560</v>
      </c>
      <c r="B512">
        <v>45947</v>
      </c>
      <c r="C512" t="s">
        <v>13</v>
      </c>
      <c r="D512">
        <v>8</v>
      </c>
      <c r="E512" s="1">
        <v>52000</v>
      </c>
      <c r="F512" s="2">
        <v>0.15</v>
      </c>
      <c r="G512" s="1">
        <v>353600</v>
      </c>
      <c r="H512" s="1">
        <v>270400</v>
      </c>
      <c r="I512" s="1">
        <v>83200</v>
      </c>
      <c r="J512" t="s">
        <v>19</v>
      </c>
      <c r="K512" t="s">
        <v>34</v>
      </c>
      <c r="L512" t="s">
        <v>16</v>
      </c>
    </row>
    <row r="513" spans="1:12" x14ac:dyDescent="0.3">
      <c r="A513" t="s">
        <v>561</v>
      </c>
      <c r="B513">
        <v>45855</v>
      </c>
      <c r="C513" t="s">
        <v>76</v>
      </c>
      <c r="D513">
        <v>2</v>
      </c>
      <c r="E513" s="1">
        <v>665</v>
      </c>
      <c r="F513" s="2">
        <v>0.05</v>
      </c>
      <c r="G513" s="1">
        <v>1263.5</v>
      </c>
      <c r="H513" s="1">
        <v>864.5</v>
      </c>
      <c r="I513" s="1">
        <v>399</v>
      </c>
      <c r="J513" t="s">
        <v>19</v>
      </c>
      <c r="K513" t="s">
        <v>70</v>
      </c>
      <c r="L513" t="s">
        <v>21</v>
      </c>
    </row>
    <row r="514" spans="1:12" x14ac:dyDescent="0.3">
      <c r="A514" t="s">
        <v>562</v>
      </c>
      <c r="B514">
        <v>45876</v>
      </c>
      <c r="C514" t="s">
        <v>43</v>
      </c>
      <c r="D514">
        <v>4</v>
      </c>
      <c r="E514" s="1">
        <v>3040</v>
      </c>
      <c r="F514" s="2">
        <v>0.2</v>
      </c>
      <c r="G514" s="1">
        <v>9728</v>
      </c>
      <c r="H514" s="1">
        <v>7904</v>
      </c>
      <c r="I514" s="1">
        <v>1824</v>
      </c>
      <c r="J514" t="s">
        <v>23</v>
      </c>
      <c r="K514" t="s">
        <v>61</v>
      </c>
      <c r="L514" t="s">
        <v>16</v>
      </c>
    </row>
    <row r="515" spans="1:12" x14ac:dyDescent="0.3">
      <c r="A515" t="s">
        <v>563</v>
      </c>
      <c r="B515">
        <v>45815</v>
      </c>
      <c r="C515" t="s">
        <v>13</v>
      </c>
      <c r="D515">
        <v>6</v>
      </c>
      <c r="E515" s="1">
        <v>54600</v>
      </c>
      <c r="F515" s="2">
        <v>0</v>
      </c>
      <c r="G515" s="1">
        <v>327600</v>
      </c>
      <c r="H515" s="1">
        <v>212940</v>
      </c>
      <c r="I515" s="1">
        <v>114660</v>
      </c>
      <c r="J515" t="s">
        <v>19</v>
      </c>
      <c r="K515" t="s">
        <v>70</v>
      </c>
      <c r="L515" t="s">
        <v>21</v>
      </c>
    </row>
    <row r="516" spans="1:12" x14ac:dyDescent="0.3">
      <c r="A516" t="s">
        <v>564</v>
      </c>
      <c r="B516">
        <v>45840</v>
      </c>
      <c r="C516" t="s">
        <v>60</v>
      </c>
      <c r="D516">
        <v>4</v>
      </c>
      <c r="E516" s="1">
        <v>2090</v>
      </c>
      <c r="F516" s="2">
        <v>0.1</v>
      </c>
      <c r="G516" s="1">
        <v>7524</v>
      </c>
      <c r="H516" s="1">
        <v>5434</v>
      </c>
      <c r="I516" s="1">
        <v>2090</v>
      </c>
      <c r="J516" t="s">
        <v>23</v>
      </c>
      <c r="K516" t="s">
        <v>72</v>
      </c>
      <c r="L516" t="s">
        <v>25</v>
      </c>
    </row>
    <row r="517" spans="1:12" x14ac:dyDescent="0.3">
      <c r="A517" t="s">
        <v>565</v>
      </c>
      <c r="B517">
        <v>46072</v>
      </c>
      <c r="C517" t="s">
        <v>43</v>
      </c>
      <c r="D517">
        <v>1</v>
      </c>
      <c r="E517" s="1">
        <v>3200</v>
      </c>
      <c r="F517" s="2">
        <v>0.15</v>
      </c>
      <c r="G517" s="1">
        <v>2720</v>
      </c>
      <c r="H517" s="1">
        <v>2080</v>
      </c>
      <c r="I517" s="1">
        <v>640</v>
      </c>
      <c r="J517" t="s">
        <v>19</v>
      </c>
      <c r="K517" t="s">
        <v>70</v>
      </c>
      <c r="L517" t="s">
        <v>16</v>
      </c>
    </row>
    <row r="518" spans="1:12" x14ac:dyDescent="0.3">
      <c r="A518" t="s">
        <v>566</v>
      </c>
      <c r="B518">
        <v>45722</v>
      </c>
      <c r="C518" t="s">
        <v>18</v>
      </c>
      <c r="D518">
        <v>2</v>
      </c>
      <c r="E518" s="1">
        <v>1710</v>
      </c>
      <c r="F518" s="2">
        <v>0.1</v>
      </c>
      <c r="G518" s="1">
        <v>3078</v>
      </c>
      <c r="H518" s="1">
        <v>2223</v>
      </c>
      <c r="I518" s="1">
        <v>855</v>
      </c>
      <c r="J518" t="s">
        <v>19</v>
      </c>
      <c r="K518" t="s">
        <v>34</v>
      </c>
      <c r="L518" t="s">
        <v>16</v>
      </c>
    </row>
    <row r="519" spans="1:12" x14ac:dyDescent="0.3">
      <c r="A519" t="s">
        <v>567</v>
      </c>
      <c r="B519">
        <v>45966</v>
      </c>
      <c r="C519" t="s">
        <v>18</v>
      </c>
      <c r="D519">
        <v>5</v>
      </c>
      <c r="E519" s="1">
        <v>1710</v>
      </c>
      <c r="F519" s="2">
        <v>0.15</v>
      </c>
      <c r="G519" s="1">
        <v>7267.5</v>
      </c>
      <c r="H519" s="1">
        <v>5557.5</v>
      </c>
      <c r="I519" s="1">
        <v>1710</v>
      </c>
      <c r="J519" t="s">
        <v>23</v>
      </c>
      <c r="K519" t="s">
        <v>72</v>
      </c>
      <c r="L519" t="s">
        <v>16</v>
      </c>
    </row>
    <row r="520" spans="1:12" x14ac:dyDescent="0.3">
      <c r="A520" t="s">
        <v>568</v>
      </c>
      <c r="B520">
        <v>45689</v>
      </c>
      <c r="C520" t="s">
        <v>56</v>
      </c>
      <c r="D520">
        <v>4</v>
      </c>
      <c r="E520" s="1">
        <v>9800</v>
      </c>
      <c r="F520" s="2">
        <v>0.05</v>
      </c>
      <c r="G520" s="1">
        <v>37240</v>
      </c>
      <c r="H520" s="1">
        <v>25480</v>
      </c>
      <c r="I520" s="1">
        <v>11760</v>
      </c>
      <c r="J520" t="s">
        <v>23</v>
      </c>
      <c r="K520" t="s">
        <v>66</v>
      </c>
      <c r="L520" t="s">
        <v>16</v>
      </c>
    </row>
    <row r="521" spans="1:12" x14ac:dyDescent="0.3">
      <c r="A521" t="s">
        <v>569</v>
      </c>
      <c r="B521">
        <v>45805</v>
      </c>
      <c r="C521" t="s">
        <v>60</v>
      </c>
      <c r="D521">
        <v>1</v>
      </c>
      <c r="E521" s="1">
        <v>2200</v>
      </c>
      <c r="F521" s="2">
        <v>0.2</v>
      </c>
      <c r="G521" s="1">
        <v>1760</v>
      </c>
      <c r="H521" s="1">
        <v>1430</v>
      </c>
      <c r="I521" s="1">
        <v>330</v>
      </c>
      <c r="J521" t="s">
        <v>14</v>
      </c>
      <c r="K521" t="s">
        <v>15</v>
      </c>
      <c r="L521" t="s">
        <v>21</v>
      </c>
    </row>
    <row r="522" spans="1:12" x14ac:dyDescent="0.3">
      <c r="A522" t="s">
        <v>570</v>
      </c>
      <c r="B522">
        <v>45663</v>
      </c>
      <c r="C522" t="s">
        <v>18</v>
      </c>
      <c r="D522">
        <v>2</v>
      </c>
      <c r="E522" s="1">
        <v>1890</v>
      </c>
      <c r="F522" s="2">
        <v>0.1</v>
      </c>
      <c r="G522" s="1">
        <v>3402</v>
      </c>
      <c r="H522" s="1">
        <v>2457</v>
      </c>
      <c r="I522" s="1">
        <v>945</v>
      </c>
      <c r="J522" t="s">
        <v>14</v>
      </c>
      <c r="K522" t="s">
        <v>36</v>
      </c>
      <c r="L522" t="s">
        <v>21</v>
      </c>
    </row>
    <row r="523" spans="1:12" x14ac:dyDescent="0.3">
      <c r="A523" t="s">
        <v>571</v>
      </c>
      <c r="B523">
        <v>46080</v>
      </c>
      <c r="C523" t="s">
        <v>51</v>
      </c>
      <c r="D523">
        <v>3</v>
      </c>
      <c r="E523" s="1">
        <v>2600</v>
      </c>
      <c r="F523" s="2">
        <v>0.05</v>
      </c>
      <c r="G523" s="1">
        <v>7410</v>
      </c>
      <c r="H523" s="1">
        <v>5070</v>
      </c>
      <c r="I523" s="1">
        <v>2340</v>
      </c>
      <c r="J523" t="s">
        <v>14</v>
      </c>
      <c r="K523" t="s">
        <v>36</v>
      </c>
      <c r="L523" t="s">
        <v>21</v>
      </c>
    </row>
    <row r="524" spans="1:12" x14ac:dyDescent="0.3">
      <c r="A524" t="s">
        <v>572</v>
      </c>
      <c r="B524">
        <v>45775</v>
      </c>
      <c r="C524" t="s">
        <v>88</v>
      </c>
      <c r="D524">
        <v>8</v>
      </c>
      <c r="E524" s="1">
        <v>1425</v>
      </c>
      <c r="F524" s="2">
        <v>0.2</v>
      </c>
      <c r="G524" s="1">
        <v>9120</v>
      </c>
      <c r="H524" s="1">
        <v>7410</v>
      </c>
      <c r="I524" s="1">
        <v>1710</v>
      </c>
      <c r="J524" t="s">
        <v>19</v>
      </c>
      <c r="K524" t="s">
        <v>34</v>
      </c>
      <c r="L524" t="s">
        <v>16</v>
      </c>
    </row>
    <row r="525" spans="1:12" x14ac:dyDescent="0.3">
      <c r="A525" t="s">
        <v>573</v>
      </c>
      <c r="B525">
        <v>45726</v>
      </c>
      <c r="C525" t="s">
        <v>60</v>
      </c>
      <c r="D525">
        <v>4</v>
      </c>
      <c r="E525" s="1">
        <v>2090</v>
      </c>
      <c r="F525" s="2">
        <v>0.2</v>
      </c>
      <c r="G525" s="1">
        <v>6688</v>
      </c>
      <c r="H525" s="1">
        <v>5434</v>
      </c>
      <c r="I525" s="1">
        <v>1254</v>
      </c>
      <c r="J525" t="s">
        <v>23</v>
      </c>
      <c r="K525" t="s">
        <v>66</v>
      </c>
      <c r="L525" t="s">
        <v>25</v>
      </c>
    </row>
    <row r="526" spans="1:12" x14ac:dyDescent="0.3">
      <c r="A526" t="s">
        <v>574</v>
      </c>
      <c r="B526">
        <v>45789</v>
      </c>
      <c r="C526" t="s">
        <v>39</v>
      </c>
      <c r="D526">
        <v>5</v>
      </c>
      <c r="E526" s="1">
        <v>11875</v>
      </c>
      <c r="F526" s="2">
        <v>0.2</v>
      </c>
      <c r="G526" s="1">
        <v>47500</v>
      </c>
      <c r="H526" s="1">
        <v>38593.75</v>
      </c>
      <c r="I526" s="1">
        <v>8906.25</v>
      </c>
      <c r="J526" t="s">
        <v>19</v>
      </c>
      <c r="K526" t="s">
        <v>20</v>
      </c>
      <c r="L526" t="s">
        <v>25</v>
      </c>
    </row>
    <row r="527" spans="1:12" x14ac:dyDescent="0.3">
      <c r="A527" t="s">
        <v>575</v>
      </c>
      <c r="B527">
        <v>46155</v>
      </c>
      <c r="C527" t="s">
        <v>56</v>
      </c>
      <c r="D527">
        <v>5</v>
      </c>
      <c r="E527" s="1">
        <v>9800</v>
      </c>
      <c r="F527" s="2">
        <v>0.2</v>
      </c>
      <c r="G527" s="1">
        <v>39200</v>
      </c>
      <c r="H527" s="1">
        <v>31850</v>
      </c>
      <c r="I527" s="1">
        <v>7350</v>
      </c>
      <c r="J527" t="s">
        <v>14</v>
      </c>
      <c r="K527" t="s">
        <v>36</v>
      </c>
      <c r="L527" t="s">
        <v>25</v>
      </c>
    </row>
    <row r="528" spans="1:12" x14ac:dyDescent="0.3">
      <c r="A528" t="s">
        <v>576</v>
      </c>
      <c r="B528">
        <v>46096</v>
      </c>
      <c r="C528" t="s">
        <v>88</v>
      </c>
      <c r="D528">
        <v>6</v>
      </c>
      <c r="E528" s="1">
        <v>1425</v>
      </c>
      <c r="F528" s="2">
        <v>0.05</v>
      </c>
      <c r="G528" s="1">
        <v>8122.5</v>
      </c>
      <c r="H528" s="1">
        <v>5557.5</v>
      </c>
      <c r="I528" s="1">
        <v>2565</v>
      </c>
      <c r="J528" t="s">
        <v>14</v>
      </c>
      <c r="K528" t="s">
        <v>47</v>
      </c>
      <c r="L528" t="s">
        <v>25</v>
      </c>
    </row>
    <row r="529" spans="1:12" x14ac:dyDescent="0.3">
      <c r="A529" t="s">
        <v>577</v>
      </c>
      <c r="B529">
        <v>46026</v>
      </c>
      <c r="C529" t="s">
        <v>88</v>
      </c>
      <c r="D529">
        <v>8</v>
      </c>
      <c r="E529" s="1">
        <v>1500</v>
      </c>
      <c r="F529" s="2">
        <v>0.15</v>
      </c>
      <c r="G529" s="1">
        <v>10200</v>
      </c>
      <c r="H529" s="1">
        <v>7800</v>
      </c>
      <c r="I529" s="1">
        <v>2400</v>
      </c>
      <c r="J529" t="s">
        <v>23</v>
      </c>
      <c r="K529" t="s">
        <v>66</v>
      </c>
      <c r="L529" t="s">
        <v>25</v>
      </c>
    </row>
    <row r="530" spans="1:12" x14ac:dyDescent="0.3">
      <c r="A530" t="s">
        <v>578</v>
      </c>
      <c r="B530">
        <v>46156</v>
      </c>
      <c r="C530" t="s">
        <v>51</v>
      </c>
      <c r="D530">
        <v>3</v>
      </c>
      <c r="E530" s="1">
        <v>2470</v>
      </c>
      <c r="F530" s="2">
        <v>0.2</v>
      </c>
      <c r="G530" s="1">
        <v>5928</v>
      </c>
      <c r="H530" s="1">
        <v>4816.5</v>
      </c>
      <c r="I530" s="1">
        <v>1111.5</v>
      </c>
      <c r="J530" t="s">
        <v>19</v>
      </c>
      <c r="K530" t="s">
        <v>34</v>
      </c>
      <c r="L530" t="s">
        <v>21</v>
      </c>
    </row>
    <row r="531" spans="1:12" x14ac:dyDescent="0.3">
      <c r="A531" t="s">
        <v>579</v>
      </c>
      <c r="B531">
        <v>45859</v>
      </c>
      <c r="C531" t="s">
        <v>60</v>
      </c>
      <c r="D531">
        <v>2</v>
      </c>
      <c r="E531" s="1">
        <v>2090</v>
      </c>
      <c r="F531" s="2">
        <v>0</v>
      </c>
      <c r="G531" s="1">
        <v>4180</v>
      </c>
      <c r="H531" s="1">
        <v>2717</v>
      </c>
      <c r="I531" s="1">
        <v>1463</v>
      </c>
      <c r="J531" t="s">
        <v>19</v>
      </c>
      <c r="K531" t="s">
        <v>79</v>
      </c>
      <c r="L531" t="s">
        <v>16</v>
      </c>
    </row>
    <row r="532" spans="1:12" x14ac:dyDescent="0.3">
      <c r="A532" t="s">
        <v>580</v>
      </c>
      <c r="B532">
        <v>45875</v>
      </c>
      <c r="C532" t="s">
        <v>13</v>
      </c>
      <c r="D532">
        <v>8</v>
      </c>
      <c r="E532" s="1">
        <v>52000</v>
      </c>
      <c r="F532" s="2">
        <v>0.05</v>
      </c>
      <c r="G532" s="1">
        <v>395200</v>
      </c>
      <c r="H532" s="1">
        <v>270400</v>
      </c>
      <c r="I532" s="1">
        <v>124800</v>
      </c>
      <c r="J532" t="s">
        <v>27</v>
      </c>
      <c r="K532" t="s">
        <v>52</v>
      </c>
      <c r="L532" t="s">
        <v>21</v>
      </c>
    </row>
    <row r="533" spans="1:12" x14ac:dyDescent="0.3">
      <c r="A533" t="s">
        <v>581</v>
      </c>
      <c r="B533">
        <v>45955</v>
      </c>
      <c r="C533" t="s">
        <v>88</v>
      </c>
      <c r="D533">
        <v>2</v>
      </c>
      <c r="E533" s="1">
        <v>1575</v>
      </c>
      <c r="F533" s="2">
        <v>0.15</v>
      </c>
      <c r="G533" s="1">
        <v>2677.5</v>
      </c>
      <c r="H533" s="1">
        <v>2047.5</v>
      </c>
      <c r="I533" s="1">
        <v>630</v>
      </c>
      <c r="J533" t="s">
        <v>27</v>
      </c>
      <c r="K533" t="s">
        <v>49</v>
      </c>
      <c r="L533" t="s">
        <v>16</v>
      </c>
    </row>
    <row r="534" spans="1:12" x14ac:dyDescent="0.3">
      <c r="A534" t="s">
        <v>582</v>
      </c>
      <c r="B534">
        <v>45902</v>
      </c>
      <c r="C534" t="s">
        <v>18</v>
      </c>
      <c r="D534">
        <v>3</v>
      </c>
      <c r="E534" s="1">
        <v>1800</v>
      </c>
      <c r="F534" s="2">
        <v>0.15</v>
      </c>
      <c r="G534" s="1">
        <v>4590</v>
      </c>
      <c r="H534" s="1">
        <v>3510</v>
      </c>
      <c r="I534" s="1">
        <v>1080</v>
      </c>
      <c r="J534" t="s">
        <v>14</v>
      </c>
      <c r="K534" t="s">
        <v>40</v>
      </c>
      <c r="L534" t="s">
        <v>16</v>
      </c>
    </row>
    <row r="535" spans="1:12" x14ac:dyDescent="0.3">
      <c r="A535" t="s">
        <v>583</v>
      </c>
      <c r="B535">
        <v>45807</v>
      </c>
      <c r="C535" t="s">
        <v>56</v>
      </c>
      <c r="D535">
        <v>1</v>
      </c>
      <c r="E535" s="1">
        <v>9800</v>
      </c>
      <c r="F535" s="2">
        <v>0.05</v>
      </c>
      <c r="G535" s="1">
        <v>9310</v>
      </c>
      <c r="H535" s="1">
        <v>6370</v>
      </c>
      <c r="I535" s="1">
        <v>2940</v>
      </c>
      <c r="J535" t="s">
        <v>23</v>
      </c>
      <c r="K535" t="s">
        <v>24</v>
      </c>
      <c r="L535" t="s">
        <v>21</v>
      </c>
    </row>
    <row r="536" spans="1:12" x14ac:dyDescent="0.3">
      <c r="A536" t="s">
        <v>584</v>
      </c>
      <c r="B536">
        <v>45928</v>
      </c>
      <c r="C536" t="s">
        <v>76</v>
      </c>
      <c r="D536">
        <v>1</v>
      </c>
      <c r="E536" s="1">
        <v>700</v>
      </c>
      <c r="F536" s="2">
        <v>0.05</v>
      </c>
      <c r="G536" s="1">
        <v>665</v>
      </c>
      <c r="H536" s="1">
        <v>455</v>
      </c>
      <c r="I536" s="1">
        <v>210</v>
      </c>
      <c r="J536" t="s">
        <v>27</v>
      </c>
      <c r="K536" t="s">
        <v>52</v>
      </c>
      <c r="L536" t="s">
        <v>25</v>
      </c>
    </row>
    <row r="537" spans="1:12" x14ac:dyDescent="0.3">
      <c r="A537" t="s">
        <v>585</v>
      </c>
      <c r="B537">
        <v>46123</v>
      </c>
      <c r="C537" t="s">
        <v>13</v>
      </c>
      <c r="D537">
        <v>6</v>
      </c>
      <c r="E537" s="1">
        <v>49400</v>
      </c>
      <c r="F537" s="2">
        <v>0</v>
      </c>
      <c r="G537" s="1">
        <v>296400</v>
      </c>
      <c r="H537" s="1">
        <v>192660</v>
      </c>
      <c r="I537" s="1">
        <v>103740</v>
      </c>
      <c r="J537" t="s">
        <v>27</v>
      </c>
      <c r="K537" t="s">
        <v>31</v>
      </c>
      <c r="L537" t="s">
        <v>16</v>
      </c>
    </row>
    <row r="538" spans="1:12" x14ac:dyDescent="0.3">
      <c r="A538" t="s">
        <v>586</v>
      </c>
      <c r="B538">
        <v>45836</v>
      </c>
      <c r="C538" t="s">
        <v>43</v>
      </c>
      <c r="D538">
        <v>6</v>
      </c>
      <c r="E538" s="1">
        <v>3360</v>
      </c>
      <c r="F538" s="2">
        <v>0.2</v>
      </c>
      <c r="G538" s="1">
        <v>16128</v>
      </c>
      <c r="H538" s="1">
        <v>13104</v>
      </c>
      <c r="I538" s="1">
        <v>3024</v>
      </c>
      <c r="J538" t="s">
        <v>19</v>
      </c>
      <c r="K538" t="s">
        <v>34</v>
      </c>
      <c r="L538" t="s">
        <v>25</v>
      </c>
    </row>
    <row r="539" spans="1:12" x14ac:dyDescent="0.3">
      <c r="A539" t="s">
        <v>587</v>
      </c>
      <c r="B539">
        <v>45886</v>
      </c>
      <c r="C539" t="s">
        <v>51</v>
      </c>
      <c r="D539">
        <v>6</v>
      </c>
      <c r="E539" s="1">
        <v>2730</v>
      </c>
      <c r="F539" s="2">
        <v>0.1</v>
      </c>
      <c r="G539" s="1">
        <v>14742</v>
      </c>
      <c r="H539" s="1">
        <v>10647</v>
      </c>
      <c r="I539" s="1">
        <v>4095</v>
      </c>
      <c r="J539" t="s">
        <v>23</v>
      </c>
      <c r="K539" t="s">
        <v>72</v>
      </c>
      <c r="L539" t="s">
        <v>16</v>
      </c>
    </row>
    <row r="540" spans="1:12" x14ac:dyDescent="0.3">
      <c r="A540" t="s">
        <v>588</v>
      </c>
      <c r="B540">
        <v>45664</v>
      </c>
      <c r="C540" t="s">
        <v>51</v>
      </c>
      <c r="D540">
        <v>8</v>
      </c>
      <c r="E540" s="1">
        <v>2600</v>
      </c>
      <c r="F540" s="2">
        <v>0.05</v>
      </c>
      <c r="G540" s="1">
        <v>19760</v>
      </c>
      <c r="H540" s="1">
        <v>13520</v>
      </c>
      <c r="I540" s="1">
        <v>6240</v>
      </c>
      <c r="J540" t="s">
        <v>14</v>
      </c>
      <c r="K540" t="s">
        <v>15</v>
      </c>
      <c r="L540" t="s">
        <v>16</v>
      </c>
    </row>
    <row r="541" spans="1:12" x14ac:dyDescent="0.3">
      <c r="A541" t="s">
        <v>589</v>
      </c>
      <c r="B541">
        <v>45945</v>
      </c>
      <c r="C541" t="s">
        <v>39</v>
      </c>
      <c r="D541">
        <v>3</v>
      </c>
      <c r="E541" s="1">
        <v>12500</v>
      </c>
      <c r="F541" s="2">
        <v>0.05</v>
      </c>
      <c r="G541" s="1">
        <v>35625</v>
      </c>
      <c r="H541" s="1">
        <v>24375</v>
      </c>
      <c r="I541" s="1">
        <v>11250</v>
      </c>
      <c r="J541" t="s">
        <v>27</v>
      </c>
      <c r="K541" t="s">
        <v>49</v>
      </c>
      <c r="L541" t="s">
        <v>16</v>
      </c>
    </row>
    <row r="542" spans="1:12" x14ac:dyDescent="0.3">
      <c r="A542" t="s">
        <v>590</v>
      </c>
      <c r="B542">
        <v>45893</v>
      </c>
      <c r="C542" t="s">
        <v>43</v>
      </c>
      <c r="D542">
        <v>2</v>
      </c>
      <c r="E542" s="1">
        <v>3200</v>
      </c>
      <c r="F542" s="2">
        <v>0.15</v>
      </c>
      <c r="G542" s="1">
        <v>5440</v>
      </c>
      <c r="H542" s="1">
        <v>4160</v>
      </c>
      <c r="I542" s="1">
        <v>1280</v>
      </c>
      <c r="J542" t="s">
        <v>23</v>
      </c>
      <c r="K542" t="s">
        <v>72</v>
      </c>
      <c r="L542" t="s">
        <v>21</v>
      </c>
    </row>
    <row r="543" spans="1:12" x14ac:dyDescent="0.3">
      <c r="A543" t="s">
        <v>591</v>
      </c>
      <c r="B543">
        <v>45823</v>
      </c>
      <c r="C543" t="s">
        <v>43</v>
      </c>
      <c r="D543">
        <v>4</v>
      </c>
      <c r="E543" s="1">
        <v>3040</v>
      </c>
      <c r="F543" s="2">
        <v>0</v>
      </c>
      <c r="G543" s="1">
        <v>12160</v>
      </c>
      <c r="H543" s="1">
        <v>7904</v>
      </c>
      <c r="I543" s="1">
        <v>4256</v>
      </c>
      <c r="J543" t="s">
        <v>14</v>
      </c>
      <c r="K543" t="s">
        <v>40</v>
      </c>
      <c r="L543" t="s">
        <v>21</v>
      </c>
    </row>
    <row r="544" spans="1:12" x14ac:dyDescent="0.3">
      <c r="A544" t="s">
        <v>58</v>
      </c>
      <c r="B544">
        <v>46144</v>
      </c>
      <c r="C544" t="s">
        <v>51</v>
      </c>
      <c r="D544">
        <v>5</v>
      </c>
      <c r="E544" s="1">
        <v>2600</v>
      </c>
      <c r="F544" s="2">
        <v>0.2</v>
      </c>
      <c r="G544" s="1">
        <v>10400</v>
      </c>
      <c r="H544" s="1">
        <v>8450</v>
      </c>
      <c r="I544" s="1">
        <v>1950</v>
      </c>
      <c r="J544" t="s">
        <v>23</v>
      </c>
      <c r="K544" t="s">
        <v>24</v>
      </c>
      <c r="L544" t="s">
        <v>16</v>
      </c>
    </row>
    <row r="545" spans="1:12" x14ac:dyDescent="0.3">
      <c r="A545" t="s">
        <v>123</v>
      </c>
      <c r="B545">
        <v>45768</v>
      </c>
      <c r="C545" t="s">
        <v>18</v>
      </c>
      <c r="D545">
        <v>5</v>
      </c>
      <c r="E545" s="1">
        <v>1710</v>
      </c>
      <c r="F545" s="2">
        <v>0.2</v>
      </c>
      <c r="G545" s="1">
        <v>6840</v>
      </c>
      <c r="H545" s="1">
        <v>5557.5</v>
      </c>
      <c r="I545" s="1">
        <v>1282.5</v>
      </c>
      <c r="J545" t="s">
        <v>23</v>
      </c>
      <c r="K545" t="s">
        <v>72</v>
      </c>
      <c r="L545" t="s">
        <v>16</v>
      </c>
    </row>
    <row r="546" spans="1:12" x14ac:dyDescent="0.3">
      <c r="A546" t="s">
        <v>181</v>
      </c>
      <c r="B546">
        <v>45897</v>
      </c>
      <c r="C546" t="s">
        <v>56</v>
      </c>
      <c r="D546">
        <v>6</v>
      </c>
      <c r="E546" s="1">
        <v>9310</v>
      </c>
      <c r="F546" s="2">
        <v>0.2</v>
      </c>
      <c r="G546" s="1">
        <v>44688</v>
      </c>
      <c r="H546" s="1">
        <v>36309</v>
      </c>
      <c r="I546" s="1">
        <v>8379</v>
      </c>
      <c r="J546" t="s">
        <v>14</v>
      </c>
      <c r="K546" t="s">
        <v>15</v>
      </c>
      <c r="L546" t="s">
        <v>16</v>
      </c>
    </row>
    <row r="547" spans="1:12" x14ac:dyDescent="0.3">
      <c r="A547" t="s">
        <v>249</v>
      </c>
      <c r="B547">
        <v>46142</v>
      </c>
      <c r="C547" t="s">
        <v>60</v>
      </c>
      <c r="D547">
        <v>4</v>
      </c>
      <c r="E547" s="1">
        <v>2090</v>
      </c>
      <c r="F547" s="2">
        <v>0.1</v>
      </c>
      <c r="G547" s="1">
        <v>7524</v>
      </c>
      <c r="H547" s="1">
        <v>5434</v>
      </c>
      <c r="I547" s="1">
        <v>2090</v>
      </c>
      <c r="J547" t="s">
        <v>27</v>
      </c>
      <c r="K547" t="s">
        <v>49</v>
      </c>
      <c r="L547" t="s">
        <v>16</v>
      </c>
    </row>
    <row r="548" spans="1:12" x14ac:dyDescent="0.3">
      <c r="A548" t="s">
        <v>328</v>
      </c>
      <c r="B548">
        <v>46084</v>
      </c>
      <c r="C548" t="s">
        <v>43</v>
      </c>
      <c r="D548">
        <v>5</v>
      </c>
      <c r="E548" s="1">
        <v>3200</v>
      </c>
      <c r="F548" s="2">
        <v>0.15</v>
      </c>
      <c r="G548" s="1">
        <v>13600</v>
      </c>
      <c r="H548" s="1">
        <v>10400</v>
      </c>
      <c r="I548" s="1">
        <v>3200</v>
      </c>
      <c r="J548" t="s">
        <v>14</v>
      </c>
      <c r="K548" t="s">
        <v>47</v>
      </c>
      <c r="L548" t="s">
        <v>21</v>
      </c>
    </row>
    <row r="549" spans="1:12" x14ac:dyDescent="0.3">
      <c r="A549" t="s">
        <v>394</v>
      </c>
      <c r="B549">
        <v>45830</v>
      </c>
      <c r="C549" t="s">
        <v>76</v>
      </c>
      <c r="D549">
        <v>5</v>
      </c>
      <c r="E549" s="1">
        <v>700</v>
      </c>
      <c r="F549" s="2">
        <v>0.2</v>
      </c>
      <c r="G549" s="1">
        <v>2800</v>
      </c>
      <c r="H549" s="1">
        <v>2275</v>
      </c>
      <c r="I549" s="1">
        <v>525</v>
      </c>
      <c r="J549" t="s">
        <v>27</v>
      </c>
      <c r="K549" t="s">
        <v>49</v>
      </c>
      <c r="L549" t="s">
        <v>21</v>
      </c>
    </row>
    <row r="550" spans="1:12" x14ac:dyDescent="0.3">
      <c r="A550" t="s">
        <v>461</v>
      </c>
      <c r="B550">
        <v>45829</v>
      </c>
      <c r="C550" t="s">
        <v>30</v>
      </c>
      <c r="D550">
        <v>8</v>
      </c>
      <c r="E550" s="1">
        <v>650</v>
      </c>
      <c r="F550" s="2">
        <v>0</v>
      </c>
      <c r="G550" s="1">
        <v>5200</v>
      </c>
      <c r="H550" s="1">
        <v>3380</v>
      </c>
      <c r="I550" s="1">
        <v>1820</v>
      </c>
      <c r="J550" t="s">
        <v>27</v>
      </c>
      <c r="K550" t="s">
        <v>28</v>
      </c>
      <c r="L550" t="s">
        <v>21</v>
      </c>
    </row>
    <row r="551" spans="1:12" x14ac:dyDescent="0.3">
      <c r="A551" t="s">
        <v>550</v>
      </c>
      <c r="B551">
        <v>45762</v>
      </c>
      <c r="C551" t="s">
        <v>18</v>
      </c>
      <c r="D551">
        <v>7</v>
      </c>
      <c r="E551" s="1">
        <v>1800</v>
      </c>
      <c r="F551" s="2">
        <v>0.05</v>
      </c>
      <c r="G551" s="1">
        <v>11970</v>
      </c>
      <c r="H551" s="1">
        <v>8190</v>
      </c>
      <c r="I551" s="1">
        <v>3780</v>
      </c>
      <c r="J551" t="s">
        <v>27</v>
      </c>
      <c r="K551" t="s">
        <v>49</v>
      </c>
      <c r="L551" t="s">
        <v>25</v>
      </c>
    </row>
  </sheetData>
  <autoFilter ref="A1:L543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3"/>
  <sheetViews>
    <sheetView workbookViewId="0">
      <pane ySplit="1" topLeftCell="A2" activePane="bottomLeft" state="frozen"/>
      <selection pane="bottomLeft" activeCell="E539" sqref="E539"/>
    </sheetView>
  </sheetViews>
  <sheetFormatPr defaultRowHeight="14.4" x14ac:dyDescent="0.3"/>
  <cols>
    <col min="1" max="1" width="14" customWidth="1"/>
    <col min="2" max="3" width="15" style="17" customWidth="1"/>
    <col min="4" max="4" width="15" customWidth="1"/>
    <col min="5" max="5" width="14" customWidth="1"/>
    <col min="6" max="6" width="12" customWidth="1"/>
    <col min="7" max="7" width="16" customWidth="1"/>
    <col min="8" max="9" width="14" customWidth="1"/>
    <col min="10" max="10" width="12" customWidth="1"/>
    <col min="11" max="11" width="17" customWidth="1"/>
    <col min="12" max="12" width="16" customWidth="1"/>
  </cols>
  <sheetData>
    <row r="1" spans="1:12" x14ac:dyDescent="0.3">
      <c r="A1" s="3" t="s">
        <v>0</v>
      </c>
      <c r="B1" s="4" t="s">
        <v>1</v>
      </c>
      <c r="C1" s="1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x14ac:dyDescent="0.3">
      <c r="A2" s="6" t="s">
        <v>12</v>
      </c>
      <c r="B2" s="18">
        <v>45772</v>
      </c>
      <c r="C2" s="18" t="s">
        <v>13</v>
      </c>
      <c r="D2" s="7">
        <v>4</v>
      </c>
      <c r="E2" s="8">
        <v>52000</v>
      </c>
      <c r="F2" s="9">
        <v>0.05</v>
      </c>
      <c r="G2" s="8">
        <f>D2*E2*(1-F2)</f>
        <v>197600</v>
      </c>
      <c r="H2" s="8">
        <f>D2*E2*65%</f>
        <v>135200</v>
      </c>
      <c r="I2" s="8">
        <f>G2-H2</f>
        <v>62400</v>
      </c>
      <c r="J2" s="7" t="s">
        <v>14</v>
      </c>
      <c r="K2" s="7" t="s">
        <v>15</v>
      </c>
      <c r="L2" s="10" t="s">
        <v>16</v>
      </c>
    </row>
    <row r="3" spans="1:12" x14ac:dyDescent="0.3">
      <c r="A3" s="6" t="s">
        <v>17</v>
      </c>
      <c r="B3" s="18">
        <v>45747</v>
      </c>
      <c r="C3" s="18" t="s">
        <v>18</v>
      </c>
      <c r="D3" s="7">
        <v>1</v>
      </c>
      <c r="E3" s="8">
        <v>1890</v>
      </c>
      <c r="F3" s="9">
        <v>0</v>
      </c>
      <c r="G3" s="8">
        <f t="shared" ref="G3:G66" si="0">D3*E3*(1-F3)</f>
        <v>1890</v>
      </c>
      <c r="H3" s="8">
        <f t="shared" ref="H3:H66" si="1">D3*E3*65%</f>
        <v>1228.5</v>
      </c>
      <c r="I3" s="8">
        <f t="shared" ref="I3:I66" si="2">G3-H3</f>
        <v>661.5</v>
      </c>
      <c r="J3" s="7" t="s">
        <v>19</v>
      </c>
      <c r="K3" s="7" t="s">
        <v>20</v>
      </c>
      <c r="L3" s="10" t="s">
        <v>21</v>
      </c>
    </row>
    <row r="4" spans="1:12" x14ac:dyDescent="0.3">
      <c r="A4" s="6" t="s">
        <v>22</v>
      </c>
      <c r="B4" s="18">
        <v>46175</v>
      </c>
      <c r="C4" s="18" t="s">
        <v>18</v>
      </c>
      <c r="D4" s="7">
        <v>4</v>
      </c>
      <c r="E4" s="8">
        <v>1710</v>
      </c>
      <c r="F4" s="9">
        <v>0.2</v>
      </c>
      <c r="G4" s="8">
        <f t="shared" si="0"/>
        <v>5472</v>
      </c>
      <c r="H4" s="8">
        <f t="shared" si="1"/>
        <v>4446</v>
      </c>
      <c r="I4" s="8">
        <f t="shared" si="2"/>
        <v>1026</v>
      </c>
      <c r="J4" s="7" t="s">
        <v>23</v>
      </c>
      <c r="K4" s="7" t="s">
        <v>24</v>
      </c>
      <c r="L4" s="10" t="s">
        <v>25</v>
      </c>
    </row>
    <row r="5" spans="1:12" x14ac:dyDescent="0.3">
      <c r="A5" s="6" t="s">
        <v>26</v>
      </c>
      <c r="B5" s="18">
        <v>45942</v>
      </c>
      <c r="C5" s="18" t="s">
        <v>13</v>
      </c>
      <c r="D5" s="7">
        <v>7</v>
      </c>
      <c r="E5" s="8">
        <v>52000</v>
      </c>
      <c r="F5" s="9">
        <v>0.1</v>
      </c>
      <c r="G5" s="8">
        <f t="shared" si="0"/>
        <v>327600</v>
      </c>
      <c r="H5" s="8">
        <f t="shared" si="1"/>
        <v>236600</v>
      </c>
      <c r="I5" s="8">
        <f t="shared" si="2"/>
        <v>91000</v>
      </c>
      <c r="J5" s="7" t="s">
        <v>27</v>
      </c>
      <c r="K5" s="7" t="s">
        <v>28</v>
      </c>
      <c r="L5" s="10" t="s">
        <v>21</v>
      </c>
    </row>
    <row r="6" spans="1:12" x14ac:dyDescent="0.3">
      <c r="A6" s="6" t="s">
        <v>29</v>
      </c>
      <c r="B6" s="18">
        <v>46002</v>
      </c>
      <c r="C6" s="18" t="s">
        <v>30</v>
      </c>
      <c r="D6" s="7">
        <v>7</v>
      </c>
      <c r="E6" s="8">
        <v>617.5</v>
      </c>
      <c r="F6" s="9">
        <v>0</v>
      </c>
      <c r="G6" s="8">
        <f t="shared" si="0"/>
        <v>4322.5</v>
      </c>
      <c r="H6" s="8">
        <f t="shared" si="1"/>
        <v>2809.625</v>
      </c>
      <c r="I6" s="8">
        <f t="shared" si="2"/>
        <v>1512.875</v>
      </c>
      <c r="J6" s="7" t="s">
        <v>27</v>
      </c>
      <c r="K6" s="7" t="s">
        <v>31</v>
      </c>
      <c r="L6" s="10" t="s">
        <v>16</v>
      </c>
    </row>
    <row r="7" spans="1:12" x14ac:dyDescent="0.3">
      <c r="A7" s="6" t="s">
        <v>32</v>
      </c>
      <c r="B7" s="18">
        <v>45928</v>
      </c>
      <c r="C7" s="18" t="s">
        <v>13</v>
      </c>
      <c r="D7" s="7">
        <v>2</v>
      </c>
      <c r="E7" s="8">
        <v>54600</v>
      </c>
      <c r="F7" s="9">
        <v>0.15</v>
      </c>
      <c r="G7" s="8">
        <f t="shared" si="0"/>
        <v>92820</v>
      </c>
      <c r="H7" s="8">
        <f t="shared" si="1"/>
        <v>70980</v>
      </c>
      <c r="I7" s="8">
        <f t="shared" si="2"/>
        <v>21840</v>
      </c>
      <c r="J7" s="7" t="s">
        <v>33</v>
      </c>
      <c r="K7" s="7" t="s">
        <v>34</v>
      </c>
      <c r="L7" s="10" t="s">
        <v>16</v>
      </c>
    </row>
    <row r="8" spans="1:12" x14ac:dyDescent="0.3">
      <c r="A8" s="6" t="s">
        <v>35</v>
      </c>
      <c r="B8" s="18">
        <v>46028</v>
      </c>
      <c r="C8" s="18" t="s">
        <v>18</v>
      </c>
      <c r="D8" s="7">
        <v>2</v>
      </c>
      <c r="E8" s="8">
        <v>1800</v>
      </c>
      <c r="F8" s="9">
        <v>0</v>
      </c>
      <c r="G8" s="8">
        <f t="shared" si="0"/>
        <v>3600</v>
      </c>
      <c r="H8" s="8">
        <f t="shared" si="1"/>
        <v>2340</v>
      </c>
      <c r="I8" s="8">
        <f t="shared" si="2"/>
        <v>1260</v>
      </c>
      <c r="J8" s="7" t="s">
        <v>14</v>
      </c>
      <c r="K8" s="7" t="s">
        <v>36</v>
      </c>
      <c r="L8" s="10" t="s">
        <v>21</v>
      </c>
    </row>
    <row r="9" spans="1:12" x14ac:dyDescent="0.3">
      <c r="A9" s="6" t="s">
        <v>37</v>
      </c>
      <c r="B9" s="18">
        <v>45896</v>
      </c>
      <c r="C9" s="18" t="s">
        <v>30</v>
      </c>
      <c r="D9" s="7">
        <v>5</v>
      </c>
      <c r="E9" s="8">
        <v>682.5</v>
      </c>
      <c r="F9" s="9">
        <v>0.15</v>
      </c>
      <c r="G9" s="8">
        <f t="shared" si="0"/>
        <v>2900.625</v>
      </c>
      <c r="H9" s="8">
        <f t="shared" si="1"/>
        <v>2218.125</v>
      </c>
      <c r="I9" s="8">
        <f t="shared" si="2"/>
        <v>682.5</v>
      </c>
      <c r="J9" s="7" t="s">
        <v>27</v>
      </c>
      <c r="K9" s="7" t="s">
        <v>28</v>
      </c>
      <c r="L9" s="10" t="s">
        <v>25</v>
      </c>
    </row>
    <row r="10" spans="1:12" x14ac:dyDescent="0.3">
      <c r="A10" s="6" t="s">
        <v>38</v>
      </c>
      <c r="B10" s="18">
        <v>46021</v>
      </c>
      <c r="C10" s="18" t="s">
        <v>39</v>
      </c>
      <c r="D10" s="7">
        <v>2</v>
      </c>
      <c r="E10" s="8">
        <v>12500</v>
      </c>
      <c r="F10" s="9">
        <v>0.2</v>
      </c>
      <c r="G10" s="8">
        <f t="shared" si="0"/>
        <v>20000</v>
      </c>
      <c r="H10" s="8">
        <f t="shared" si="1"/>
        <v>16250</v>
      </c>
      <c r="I10" s="8">
        <f t="shared" si="2"/>
        <v>3750</v>
      </c>
      <c r="J10" s="7" t="s">
        <v>14</v>
      </c>
      <c r="K10" s="7" t="s">
        <v>40</v>
      </c>
      <c r="L10" s="10" t="s">
        <v>21</v>
      </c>
    </row>
    <row r="11" spans="1:12" x14ac:dyDescent="0.3">
      <c r="A11" s="6" t="s">
        <v>41</v>
      </c>
      <c r="B11" s="18">
        <v>46131</v>
      </c>
      <c r="C11" s="18" t="s">
        <v>43</v>
      </c>
      <c r="D11" s="7">
        <v>4</v>
      </c>
      <c r="E11" s="8">
        <v>3200</v>
      </c>
      <c r="F11" s="9">
        <v>0.1</v>
      </c>
      <c r="G11" s="8">
        <f t="shared" si="0"/>
        <v>11520</v>
      </c>
      <c r="H11" s="8">
        <f t="shared" si="1"/>
        <v>8320</v>
      </c>
      <c r="I11" s="8">
        <f t="shared" si="2"/>
        <v>3200</v>
      </c>
      <c r="J11" s="7" t="s">
        <v>19</v>
      </c>
      <c r="K11" s="7" t="s">
        <v>20</v>
      </c>
      <c r="L11" s="10" t="s">
        <v>21</v>
      </c>
    </row>
    <row r="12" spans="1:12" x14ac:dyDescent="0.3">
      <c r="A12" s="6" t="s">
        <v>42</v>
      </c>
      <c r="B12" s="18">
        <v>45981</v>
      </c>
      <c r="C12" s="18" t="s">
        <v>43</v>
      </c>
      <c r="D12" s="7">
        <v>2</v>
      </c>
      <c r="E12" s="8">
        <v>3200</v>
      </c>
      <c r="F12" s="9">
        <v>0.05</v>
      </c>
      <c r="G12" s="8">
        <f t="shared" si="0"/>
        <v>6080</v>
      </c>
      <c r="H12" s="8">
        <f t="shared" si="1"/>
        <v>4160</v>
      </c>
      <c r="I12" s="8">
        <f t="shared" si="2"/>
        <v>1920</v>
      </c>
      <c r="J12" s="7" t="s">
        <v>27</v>
      </c>
      <c r="K12" s="7" t="s">
        <v>28</v>
      </c>
      <c r="L12" s="10" t="s">
        <v>16</v>
      </c>
    </row>
    <row r="13" spans="1:12" x14ac:dyDescent="0.3">
      <c r="A13" s="6" t="s">
        <v>44</v>
      </c>
      <c r="B13" s="18">
        <v>46169</v>
      </c>
      <c r="C13" s="18" t="s">
        <v>43</v>
      </c>
      <c r="D13" s="7">
        <v>3</v>
      </c>
      <c r="E13" s="8">
        <v>3360</v>
      </c>
      <c r="F13" s="9">
        <v>0.1</v>
      </c>
      <c r="G13" s="8">
        <f t="shared" si="0"/>
        <v>9072</v>
      </c>
      <c r="H13" s="8">
        <f t="shared" si="1"/>
        <v>6552</v>
      </c>
      <c r="I13" s="8">
        <f t="shared" si="2"/>
        <v>2520</v>
      </c>
      <c r="J13" s="7" t="s">
        <v>14</v>
      </c>
      <c r="K13" s="7" t="s">
        <v>40</v>
      </c>
      <c r="L13" s="10" t="s">
        <v>16</v>
      </c>
    </row>
    <row r="14" spans="1:12" x14ac:dyDescent="0.3">
      <c r="A14" s="6" t="s">
        <v>45</v>
      </c>
      <c r="B14" s="18">
        <v>45927</v>
      </c>
      <c r="C14" s="18" t="s">
        <v>18</v>
      </c>
      <c r="D14" s="7">
        <v>7</v>
      </c>
      <c r="E14" s="8">
        <v>1890</v>
      </c>
      <c r="F14" s="9">
        <v>0.1</v>
      </c>
      <c r="G14" s="8">
        <f t="shared" si="0"/>
        <v>11907</v>
      </c>
      <c r="H14" s="8">
        <f t="shared" si="1"/>
        <v>8599.5</v>
      </c>
      <c r="I14" s="8">
        <f t="shared" si="2"/>
        <v>3307.5</v>
      </c>
      <c r="J14" s="7" t="s">
        <v>14</v>
      </c>
      <c r="K14" s="7" t="s">
        <v>40</v>
      </c>
      <c r="L14" s="10" t="s">
        <v>16</v>
      </c>
    </row>
    <row r="15" spans="1:12" x14ac:dyDescent="0.3">
      <c r="A15" s="6" t="s">
        <v>46</v>
      </c>
      <c r="B15" s="18">
        <v>46163</v>
      </c>
      <c r="C15" s="18" t="s">
        <v>30</v>
      </c>
      <c r="D15" s="7">
        <v>2</v>
      </c>
      <c r="E15" s="8">
        <v>617.5</v>
      </c>
      <c r="F15" s="9">
        <v>0.05</v>
      </c>
      <c r="G15" s="8">
        <f t="shared" si="0"/>
        <v>1173.25</v>
      </c>
      <c r="H15" s="8">
        <f t="shared" si="1"/>
        <v>802.75</v>
      </c>
      <c r="I15" s="8">
        <f t="shared" si="2"/>
        <v>370.5</v>
      </c>
      <c r="J15" s="7" t="s">
        <v>14</v>
      </c>
      <c r="K15" s="7" t="s">
        <v>47</v>
      </c>
      <c r="L15" s="10" t="s">
        <v>16</v>
      </c>
    </row>
    <row r="16" spans="1:12" x14ac:dyDescent="0.3">
      <c r="A16" s="6" t="s">
        <v>48</v>
      </c>
      <c r="B16" s="18">
        <v>45723</v>
      </c>
      <c r="C16" s="18" t="s">
        <v>43</v>
      </c>
      <c r="D16" s="7">
        <v>8</v>
      </c>
      <c r="E16" s="8">
        <v>3360</v>
      </c>
      <c r="F16" s="9">
        <v>0.2</v>
      </c>
      <c r="G16" s="8">
        <f t="shared" si="0"/>
        <v>21504</v>
      </c>
      <c r="H16" s="8">
        <f t="shared" si="1"/>
        <v>17472</v>
      </c>
      <c r="I16" s="8">
        <f t="shared" si="2"/>
        <v>4032</v>
      </c>
      <c r="J16" s="7" t="s">
        <v>27</v>
      </c>
      <c r="K16" s="7" t="s">
        <v>49</v>
      </c>
      <c r="L16" s="10" t="s">
        <v>16</v>
      </c>
    </row>
    <row r="17" spans="1:12" x14ac:dyDescent="0.3">
      <c r="A17" s="6" t="s">
        <v>50</v>
      </c>
      <c r="B17" s="18">
        <v>45775</v>
      </c>
      <c r="C17" s="18" t="s">
        <v>51</v>
      </c>
      <c r="D17" s="7">
        <v>6</v>
      </c>
      <c r="E17" s="8">
        <v>2600</v>
      </c>
      <c r="F17" s="9">
        <v>0</v>
      </c>
      <c r="G17" s="8">
        <f t="shared" si="0"/>
        <v>15600</v>
      </c>
      <c r="H17" s="8">
        <f t="shared" si="1"/>
        <v>10140</v>
      </c>
      <c r="I17" s="8">
        <f t="shared" si="2"/>
        <v>5460</v>
      </c>
      <c r="J17" s="7" t="s">
        <v>27</v>
      </c>
      <c r="K17" s="7" t="s">
        <v>52</v>
      </c>
      <c r="L17" s="10" t="s">
        <v>21</v>
      </c>
    </row>
    <row r="18" spans="1:12" x14ac:dyDescent="0.3">
      <c r="A18" s="6" t="s">
        <v>53</v>
      </c>
      <c r="B18" s="18">
        <v>46122</v>
      </c>
      <c r="C18" s="18" t="s">
        <v>13</v>
      </c>
      <c r="D18" s="7">
        <v>3</v>
      </c>
      <c r="E18" s="8">
        <v>52000</v>
      </c>
      <c r="F18" s="9">
        <v>0.2</v>
      </c>
      <c r="G18" s="8">
        <f t="shared" si="0"/>
        <v>124800</v>
      </c>
      <c r="H18" s="8">
        <f t="shared" si="1"/>
        <v>101400</v>
      </c>
      <c r="I18" s="8">
        <f t="shared" si="2"/>
        <v>23400</v>
      </c>
      <c r="J18" s="7" t="s">
        <v>19</v>
      </c>
      <c r="K18" s="7" t="s">
        <v>34</v>
      </c>
      <c r="L18" s="10" t="s">
        <v>16</v>
      </c>
    </row>
    <row r="19" spans="1:12" x14ac:dyDescent="0.3">
      <c r="A19" s="6" t="s">
        <v>54</v>
      </c>
      <c r="B19" s="18">
        <v>46177</v>
      </c>
      <c r="C19" s="18" t="s">
        <v>18</v>
      </c>
      <c r="D19" s="7">
        <v>3</v>
      </c>
      <c r="E19" s="8">
        <v>1800</v>
      </c>
      <c r="F19" s="9">
        <v>0.1</v>
      </c>
      <c r="G19" s="8">
        <f t="shared" si="0"/>
        <v>4860</v>
      </c>
      <c r="H19" s="8">
        <f t="shared" si="1"/>
        <v>3510</v>
      </c>
      <c r="I19" s="8">
        <f t="shared" si="2"/>
        <v>1350</v>
      </c>
      <c r="J19" s="7" t="s">
        <v>14</v>
      </c>
      <c r="K19" s="7" t="s">
        <v>15</v>
      </c>
      <c r="L19" s="10" t="s">
        <v>16</v>
      </c>
    </row>
    <row r="20" spans="1:12" x14ac:dyDescent="0.3">
      <c r="A20" s="6" t="s">
        <v>55</v>
      </c>
      <c r="B20" s="18">
        <v>45989</v>
      </c>
      <c r="C20" s="18" t="s">
        <v>56</v>
      </c>
      <c r="D20" s="7">
        <v>2</v>
      </c>
      <c r="E20" s="8">
        <v>9310</v>
      </c>
      <c r="F20" s="9">
        <v>0.1</v>
      </c>
      <c r="G20" s="8">
        <f t="shared" si="0"/>
        <v>16758</v>
      </c>
      <c r="H20" s="8">
        <f t="shared" si="1"/>
        <v>12103</v>
      </c>
      <c r="I20" s="8">
        <f t="shared" si="2"/>
        <v>4655</v>
      </c>
      <c r="J20" s="7" t="s">
        <v>27</v>
      </c>
      <c r="K20" s="7" t="s">
        <v>28</v>
      </c>
      <c r="L20" s="10" t="s">
        <v>21</v>
      </c>
    </row>
    <row r="21" spans="1:12" x14ac:dyDescent="0.3">
      <c r="A21" s="6" t="s">
        <v>57</v>
      </c>
      <c r="B21" s="18">
        <v>45904</v>
      </c>
      <c r="C21" s="18" t="s">
        <v>18</v>
      </c>
      <c r="D21" s="7">
        <v>2</v>
      </c>
      <c r="E21" s="8">
        <v>1710</v>
      </c>
      <c r="F21" s="9">
        <v>0.15</v>
      </c>
      <c r="G21" s="8">
        <f t="shared" si="0"/>
        <v>2907</v>
      </c>
      <c r="H21" s="8">
        <f t="shared" si="1"/>
        <v>2223</v>
      </c>
      <c r="I21" s="8">
        <f t="shared" si="2"/>
        <v>684</v>
      </c>
      <c r="J21" s="7" t="s">
        <v>19</v>
      </c>
      <c r="K21" s="7" t="s">
        <v>20</v>
      </c>
      <c r="L21" s="10" t="s">
        <v>21</v>
      </c>
    </row>
    <row r="22" spans="1:12" x14ac:dyDescent="0.3">
      <c r="A22" s="6" t="s">
        <v>58</v>
      </c>
      <c r="B22" s="18">
        <v>46144</v>
      </c>
      <c r="C22" s="18" t="s">
        <v>51</v>
      </c>
      <c r="D22" s="7">
        <v>5</v>
      </c>
      <c r="E22" s="8">
        <v>2600</v>
      </c>
      <c r="F22" s="9">
        <v>0.2</v>
      </c>
      <c r="G22" s="8">
        <f t="shared" si="0"/>
        <v>10400</v>
      </c>
      <c r="H22" s="8">
        <f t="shared" si="1"/>
        <v>8450</v>
      </c>
      <c r="I22" s="8">
        <f t="shared" si="2"/>
        <v>1950</v>
      </c>
      <c r="J22" s="7" t="s">
        <v>23</v>
      </c>
      <c r="K22" s="7" t="s">
        <v>24</v>
      </c>
      <c r="L22" s="10" t="s">
        <v>16</v>
      </c>
    </row>
    <row r="23" spans="1:12" x14ac:dyDescent="0.3">
      <c r="A23" s="6" t="s">
        <v>59</v>
      </c>
      <c r="B23" s="18">
        <v>45863</v>
      </c>
      <c r="C23" s="18" t="s">
        <v>60</v>
      </c>
      <c r="D23" s="7">
        <v>6</v>
      </c>
      <c r="E23" s="8">
        <v>2310</v>
      </c>
      <c r="F23" s="9">
        <v>0.15</v>
      </c>
      <c r="G23" s="8">
        <f t="shared" si="0"/>
        <v>11781</v>
      </c>
      <c r="H23" s="8">
        <f t="shared" si="1"/>
        <v>9009</v>
      </c>
      <c r="I23" s="8">
        <f t="shared" si="2"/>
        <v>2772</v>
      </c>
      <c r="J23" s="7" t="s">
        <v>23</v>
      </c>
      <c r="K23" s="7" t="s">
        <v>61</v>
      </c>
      <c r="L23" s="10" t="s">
        <v>21</v>
      </c>
    </row>
    <row r="24" spans="1:12" x14ac:dyDescent="0.3">
      <c r="A24" s="6" t="s">
        <v>62</v>
      </c>
      <c r="B24" s="18">
        <v>45888</v>
      </c>
      <c r="C24" s="18" t="s">
        <v>30</v>
      </c>
      <c r="D24" s="7">
        <v>1</v>
      </c>
      <c r="E24" s="8">
        <v>650</v>
      </c>
      <c r="F24" s="9">
        <v>0.2</v>
      </c>
      <c r="G24" s="8">
        <f t="shared" si="0"/>
        <v>520</v>
      </c>
      <c r="H24" s="8">
        <f t="shared" si="1"/>
        <v>422.5</v>
      </c>
      <c r="I24" s="8">
        <f t="shared" si="2"/>
        <v>97.5</v>
      </c>
      <c r="J24" s="7" t="s">
        <v>14</v>
      </c>
      <c r="K24" s="7" t="s">
        <v>40</v>
      </c>
      <c r="L24" s="10" t="s">
        <v>21</v>
      </c>
    </row>
    <row r="25" spans="1:12" x14ac:dyDescent="0.3">
      <c r="A25" s="6" t="s">
        <v>63</v>
      </c>
      <c r="B25" s="18">
        <v>45730</v>
      </c>
      <c r="C25" s="18" t="s">
        <v>13</v>
      </c>
      <c r="D25" s="7">
        <v>2</v>
      </c>
      <c r="E25" s="8">
        <v>52000</v>
      </c>
      <c r="F25" s="9">
        <v>0</v>
      </c>
      <c r="G25" s="8">
        <f t="shared" si="0"/>
        <v>104000</v>
      </c>
      <c r="H25" s="8">
        <f t="shared" si="1"/>
        <v>67600</v>
      </c>
      <c r="I25" s="8">
        <f t="shared" si="2"/>
        <v>36400</v>
      </c>
      <c r="J25" s="7" t="s">
        <v>27</v>
      </c>
      <c r="K25" s="7" t="s">
        <v>49</v>
      </c>
      <c r="L25" s="10" t="s">
        <v>16</v>
      </c>
    </row>
    <row r="26" spans="1:12" x14ac:dyDescent="0.3">
      <c r="A26" s="6" t="s">
        <v>64</v>
      </c>
      <c r="B26" s="18">
        <v>45901</v>
      </c>
      <c r="C26" s="18" t="s">
        <v>60</v>
      </c>
      <c r="D26" s="7">
        <v>4</v>
      </c>
      <c r="E26" s="8">
        <v>2310</v>
      </c>
      <c r="F26" s="9">
        <v>0.2</v>
      </c>
      <c r="G26" s="8">
        <f t="shared" si="0"/>
        <v>7392</v>
      </c>
      <c r="H26" s="8">
        <f t="shared" si="1"/>
        <v>6006</v>
      </c>
      <c r="I26" s="8">
        <f t="shared" si="2"/>
        <v>1386</v>
      </c>
      <c r="J26" s="7" t="s">
        <v>14</v>
      </c>
      <c r="K26" s="7" t="s">
        <v>47</v>
      </c>
      <c r="L26" s="10" t="s">
        <v>21</v>
      </c>
    </row>
    <row r="27" spans="1:12" x14ac:dyDescent="0.3">
      <c r="A27" s="6" t="s">
        <v>65</v>
      </c>
      <c r="B27" s="18">
        <v>46142</v>
      </c>
      <c r="C27" s="18" t="s">
        <v>43</v>
      </c>
      <c r="D27" s="7">
        <v>2</v>
      </c>
      <c r="E27" s="8">
        <v>3200</v>
      </c>
      <c r="F27" s="9">
        <v>0</v>
      </c>
      <c r="G27" s="8">
        <f t="shared" si="0"/>
        <v>6400</v>
      </c>
      <c r="H27" s="8">
        <f t="shared" si="1"/>
        <v>4160</v>
      </c>
      <c r="I27" s="8">
        <f t="shared" si="2"/>
        <v>2240</v>
      </c>
      <c r="J27" s="7" t="s">
        <v>23</v>
      </c>
      <c r="K27" s="7" t="s">
        <v>66</v>
      </c>
      <c r="L27" s="10" t="s">
        <v>25</v>
      </c>
    </row>
    <row r="28" spans="1:12" x14ac:dyDescent="0.3">
      <c r="A28" s="6" t="s">
        <v>67</v>
      </c>
      <c r="B28" s="18">
        <v>46078</v>
      </c>
      <c r="C28" s="18" t="s">
        <v>56</v>
      </c>
      <c r="D28" s="7">
        <v>2</v>
      </c>
      <c r="E28" s="8">
        <v>9310</v>
      </c>
      <c r="F28" s="9">
        <v>0</v>
      </c>
      <c r="G28" s="8">
        <f t="shared" si="0"/>
        <v>18620</v>
      </c>
      <c r="H28" s="8">
        <f t="shared" si="1"/>
        <v>12103</v>
      </c>
      <c r="I28" s="8">
        <f t="shared" si="2"/>
        <v>6517</v>
      </c>
      <c r="J28" s="7" t="s">
        <v>23</v>
      </c>
      <c r="K28" s="7" t="s">
        <v>66</v>
      </c>
      <c r="L28" s="10" t="s">
        <v>21</v>
      </c>
    </row>
    <row r="29" spans="1:12" x14ac:dyDescent="0.3">
      <c r="A29" s="6" t="s">
        <v>68</v>
      </c>
      <c r="B29" s="18">
        <v>45912</v>
      </c>
      <c r="C29" s="18" t="s">
        <v>39</v>
      </c>
      <c r="D29" s="7">
        <v>8</v>
      </c>
      <c r="E29" s="8">
        <v>12500</v>
      </c>
      <c r="F29" s="9">
        <v>0.05</v>
      </c>
      <c r="G29" s="8">
        <f t="shared" si="0"/>
        <v>95000</v>
      </c>
      <c r="H29" s="8">
        <f t="shared" si="1"/>
        <v>65000</v>
      </c>
      <c r="I29" s="8">
        <f t="shared" si="2"/>
        <v>30000</v>
      </c>
      <c r="J29" s="7" t="s">
        <v>23</v>
      </c>
      <c r="K29" s="7" t="s">
        <v>24</v>
      </c>
      <c r="L29" s="10" t="s">
        <v>25</v>
      </c>
    </row>
    <row r="30" spans="1:12" x14ac:dyDescent="0.3">
      <c r="A30" s="6" t="s">
        <v>69</v>
      </c>
      <c r="B30" s="18">
        <v>46131</v>
      </c>
      <c r="C30" s="18" t="s">
        <v>39</v>
      </c>
      <c r="D30" s="7">
        <v>8</v>
      </c>
      <c r="E30" s="8">
        <v>11875</v>
      </c>
      <c r="F30" s="9">
        <v>0.2</v>
      </c>
      <c r="G30" s="8">
        <f t="shared" si="0"/>
        <v>76000</v>
      </c>
      <c r="H30" s="8">
        <f t="shared" si="1"/>
        <v>61750</v>
      </c>
      <c r="I30" s="8">
        <f t="shared" si="2"/>
        <v>14250</v>
      </c>
      <c r="J30" s="7" t="s">
        <v>19</v>
      </c>
      <c r="K30" s="7" t="s">
        <v>70</v>
      </c>
      <c r="L30" s="10" t="s">
        <v>16</v>
      </c>
    </row>
    <row r="31" spans="1:12" x14ac:dyDescent="0.3">
      <c r="A31" s="6" t="s">
        <v>71</v>
      </c>
      <c r="B31" s="18">
        <v>45673</v>
      </c>
      <c r="C31" s="18" t="s">
        <v>30</v>
      </c>
      <c r="D31" s="7">
        <v>3</v>
      </c>
      <c r="E31" s="8">
        <v>650</v>
      </c>
      <c r="F31" s="9">
        <v>0.15</v>
      </c>
      <c r="G31" s="8">
        <f t="shared" si="0"/>
        <v>1657.5</v>
      </c>
      <c r="H31" s="8">
        <f t="shared" si="1"/>
        <v>1267.5</v>
      </c>
      <c r="I31" s="8">
        <f t="shared" si="2"/>
        <v>390</v>
      </c>
      <c r="J31" s="7" t="s">
        <v>23</v>
      </c>
      <c r="K31" s="7" t="s">
        <v>72</v>
      </c>
      <c r="L31" s="10" t="s">
        <v>21</v>
      </c>
    </row>
    <row r="32" spans="1:12" x14ac:dyDescent="0.3">
      <c r="A32" s="6" t="s">
        <v>73</v>
      </c>
      <c r="B32" s="18">
        <v>46068</v>
      </c>
      <c r="C32" s="18" t="s">
        <v>13</v>
      </c>
      <c r="D32" s="7">
        <v>7</v>
      </c>
      <c r="E32" s="8">
        <v>52000</v>
      </c>
      <c r="F32" s="9">
        <v>0</v>
      </c>
      <c r="G32" s="8">
        <f t="shared" si="0"/>
        <v>364000</v>
      </c>
      <c r="H32" s="8">
        <f t="shared" si="1"/>
        <v>236600</v>
      </c>
      <c r="I32" s="8">
        <f t="shared" si="2"/>
        <v>127400</v>
      </c>
      <c r="J32" s="7" t="s">
        <v>23</v>
      </c>
      <c r="K32" s="7" t="s">
        <v>66</v>
      </c>
      <c r="L32" s="10" t="s">
        <v>25</v>
      </c>
    </row>
    <row r="33" spans="1:12" x14ac:dyDescent="0.3">
      <c r="A33" s="6" t="s">
        <v>74</v>
      </c>
      <c r="B33" s="18">
        <v>45950</v>
      </c>
      <c r="C33" s="18" t="s">
        <v>43</v>
      </c>
      <c r="D33" s="7">
        <v>3</v>
      </c>
      <c r="E33" s="8">
        <v>3360</v>
      </c>
      <c r="F33" s="9">
        <v>0.05</v>
      </c>
      <c r="G33" s="8">
        <f t="shared" si="0"/>
        <v>9576</v>
      </c>
      <c r="H33" s="8">
        <f t="shared" si="1"/>
        <v>6552</v>
      </c>
      <c r="I33" s="8">
        <f t="shared" si="2"/>
        <v>3024</v>
      </c>
      <c r="J33" s="7" t="s">
        <v>27</v>
      </c>
      <c r="K33" s="7" t="s">
        <v>28</v>
      </c>
      <c r="L33" s="10" t="s">
        <v>21</v>
      </c>
    </row>
    <row r="34" spans="1:12" x14ac:dyDescent="0.3">
      <c r="A34" s="6" t="s">
        <v>75</v>
      </c>
      <c r="B34" s="18">
        <v>45720</v>
      </c>
      <c r="C34" s="18" t="s">
        <v>661</v>
      </c>
      <c r="D34" s="7">
        <v>1</v>
      </c>
      <c r="E34" s="8">
        <v>665</v>
      </c>
      <c r="F34" s="9">
        <v>0.2</v>
      </c>
      <c r="G34" s="8">
        <f t="shared" si="0"/>
        <v>532</v>
      </c>
      <c r="H34" s="8">
        <f t="shared" si="1"/>
        <v>432.25</v>
      </c>
      <c r="I34" s="8">
        <f t="shared" si="2"/>
        <v>99.75</v>
      </c>
      <c r="J34" s="7" t="s">
        <v>23</v>
      </c>
      <c r="K34" s="7" t="s">
        <v>24</v>
      </c>
      <c r="L34" s="10" t="s">
        <v>21</v>
      </c>
    </row>
    <row r="35" spans="1:12" x14ac:dyDescent="0.3">
      <c r="A35" s="6" t="s">
        <v>77</v>
      </c>
      <c r="B35" s="18">
        <v>46178</v>
      </c>
      <c r="C35" s="18" t="s">
        <v>30</v>
      </c>
      <c r="D35" s="7">
        <v>2</v>
      </c>
      <c r="E35" s="8">
        <v>650</v>
      </c>
      <c r="F35" s="9">
        <v>0.2</v>
      </c>
      <c r="G35" s="8">
        <f t="shared" si="0"/>
        <v>1040</v>
      </c>
      <c r="H35" s="8">
        <f t="shared" si="1"/>
        <v>845</v>
      </c>
      <c r="I35" s="8">
        <f t="shared" si="2"/>
        <v>195</v>
      </c>
      <c r="J35" s="7" t="s">
        <v>19</v>
      </c>
      <c r="K35" s="7" t="s">
        <v>20</v>
      </c>
      <c r="L35" s="10" t="s">
        <v>25</v>
      </c>
    </row>
    <row r="36" spans="1:12" x14ac:dyDescent="0.3">
      <c r="A36" s="6" t="s">
        <v>78</v>
      </c>
      <c r="B36" s="18">
        <v>45780</v>
      </c>
      <c r="C36" s="18" t="s">
        <v>18</v>
      </c>
      <c r="D36" s="7">
        <v>1</v>
      </c>
      <c r="E36" s="8">
        <v>1800</v>
      </c>
      <c r="F36" s="9">
        <v>0.2</v>
      </c>
      <c r="G36" s="8">
        <f t="shared" si="0"/>
        <v>1440</v>
      </c>
      <c r="H36" s="8">
        <f t="shared" si="1"/>
        <v>1170</v>
      </c>
      <c r="I36" s="8">
        <f t="shared" si="2"/>
        <v>270</v>
      </c>
      <c r="J36" s="7" t="s">
        <v>19</v>
      </c>
      <c r="K36" s="7" t="s">
        <v>79</v>
      </c>
      <c r="L36" s="10" t="s">
        <v>16</v>
      </c>
    </row>
    <row r="37" spans="1:12" x14ac:dyDescent="0.3">
      <c r="A37" s="6" t="s">
        <v>80</v>
      </c>
      <c r="B37" s="18">
        <v>46193</v>
      </c>
      <c r="C37" s="18" t="s">
        <v>661</v>
      </c>
      <c r="D37" s="7">
        <v>4</v>
      </c>
      <c r="E37" s="8">
        <v>700</v>
      </c>
      <c r="F37" s="9">
        <v>0.1</v>
      </c>
      <c r="G37" s="8">
        <f t="shared" si="0"/>
        <v>2520</v>
      </c>
      <c r="H37" s="8">
        <f t="shared" si="1"/>
        <v>1820</v>
      </c>
      <c r="I37" s="8">
        <f t="shared" si="2"/>
        <v>700</v>
      </c>
      <c r="J37" s="7" t="s">
        <v>14</v>
      </c>
      <c r="K37" s="7" t="s">
        <v>36</v>
      </c>
      <c r="L37" s="10" t="s">
        <v>25</v>
      </c>
    </row>
    <row r="38" spans="1:12" x14ac:dyDescent="0.3">
      <c r="A38" s="6" t="s">
        <v>81</v>
      </c>
      <c r="B38" s="18">
        <v>45792</v>
      </c>
      <c r="C38" s="18" t="s">
        <v>60</v>
      </c>
      <c r="D38" s="7">
        <v>6</v>
      </c>
      <c r="E38" s="8">
        <v>2310</v>
      </c>
      <c r="F38" s="9">
        <v>0</v>
      </c>
      <c r="G38" s="8">
        <f t="shared" si="0"/>
        <v>13860</v>
      </c>
      <c r="H38" s="8">
        <f t="shared" si="1"/>
        <v>9009</v>
      </c>
      <c r="I38" s="8">
        <f t="shared" si="2"/>
        <v>4851</v>
      </c>
      <c r="J38" s="7" t="s">
        <v>19</v>
      </c>
      <c r="K38" s="7" t="s">
        <v>79</v>
      </c>
      <c r="L38" s="10" t="s">
        <v>16</v>
      </c>
    </row>
    <row r="39" spans="1:12" x14ac:dyDescent="0.3">
      <c r="A39" s="6" t="s">
        <v>82</v>
      </c>
      <c r="B39" s="18">
        <v>45760</v>
      </c>
      <c r="C39" s="18" t="s">
        <v>30</v>
      </c>
      <c r="D39" s="7">
        <v>5</v>
      </c>
      <c r="E39" s="8">
        <v>650</v>
      </c>
      <c r="F39" s="9">
        <v>0.05</v>
      </c>
      <c r="G39" s="8">
        <f t="shared" si="0"/>
        <v>3087.5</v>
      </c>
      <c r="H39" s="8">
        <f t="shared" si="1"/>
        <v>2112.5</v>
      </c>
      <c r="I39" s="8">
        <f t="shared" si="2"/>
        <v>975</v>
      </c>
      <c r="J39" s="7" t="s">
        <v>27</v>
      </c>
      <c r="K39" s="7" t="s">
        <v>49</v>
      </c>
      <c r="L39" s="10" t="s">
        <v>21</v>
      </c>
    </row>
    <row r="40" spans="1:12" x14ac:dyDescent="0.3">
      <c r="A40" s="6" t="s">
        <v>83</v>
      </c>
      <c r="B40" s="18">
        <v>46036</v>
      </c>
      <c r="C40" s="18" t="s">
        <v>60</v>
      </c>
      <c r="D40" s="7">
        <v>8</v>
      </c>
      <c r="E40" s="8">
        <v>2200</v>
      </c>
      <c r="F40" s="9">
        <v>0.2</v>
      </c>
      <c r="G40" s="8">
        <f t="shared" si="0"/>
        <v>14080</v>
      </c>
      <c r="H40" s="8">
        <f t="shared" si="1"/>
        <v>11440</v>
      </c>
      <c r="I40" s="8">
        <f t="shared" si="2"/>
        <v>2640</v>
      </c>
      <c r="J40" s="7" t="s">
        <v>27</v>
      </c>
      <c r="K40" s="7" t="s">
        <v>49</v>
      </c>
      <c r="L40" s="10" t="s">
        <v>16</v>
      </c>
    </row>
    <row r="41" spans="1:12" x14ac:dyDescent="0.3">
      <c r="A41" s="6" t="s">
        <v>84</v>
      </c>
      <c r="B41" s="18">
        <v>45964</v>
      </c>
      <c r="C41" s="18" t="s">
        <v>30</v>
      </c>
      <c r="D41" s="7">
        <v>5</v>
      </c>
      <c r="E41" s="8">
        <v>650</v>
      </c>
      <c r="F41" s="9">
        <v>0</v>
      </c>
      <c r="G41" s="8">
        <f t="shared" si="0"/>
        <v>3250</v>
      </c>
      <c r="H41" s="8">
        <f t="shared" si="1"/>
        <v>2112.5</v>
      </c>
      <c r="I41" s="8">
        <f t="shared" si="2"/>
        <v>1137.5</v>
      </c>
      <c r="J41" s="7" t="s">
        <v>19</v>
      </c>
      <c r="K41" s="7" t="s">
        <v>20</v>
      </c>
      <c r="L41" s="10" t="s">
        <v>25</v>
      </c>
    </row>
    <row r="42" spans="1:12" x14ac:dyDescent="0.3">
      <c r="A42" s="6" t="s">
        <v>85</v>
      </c>
      <c r="B42" s="18">
        <v>45946</v>
      </c>
      <c r="C42" s="18" t="s">
        <v>18</v>
      </c>
      <c r="D42" s="7">
        <v>6</v>
      </c>
      <c r="E42" s="8">
        <v>1800</v>
      </c>
      <c r="F42" s="9">
        <v>0.05</v>
      </c>
      <c r="G42" s="8">
        <f t="shared" si="0"/>
        <v>10260</v>
      </c>
      <c r="H42" s="8">
        <f t="shared" si="1"/>
        <v>7020</v>
      </c>
      <c r="I42" s="8">
        <f t="shared" si="2"/>
        <v>3240</v>
      </c>
      <c r="J42" s="7" t="s">
        <v>27</v>
      </c>
      <c r="K42" s="7" t="s">
        <v>52</v>
      </c>
      <c r="L42" s="10" t="s">
        <v>25</v>
      </c>
    </row>
    <row r="43" spans="1:12" x14ac:dyDescent="0.3">
      <c r="A43" s="6" t="s">
        <v>86</v>
      </c>
      <c r="B43" s="18">
        <v>45710</v>
      </c>
      <c r="C43" s="18" t="s">
        <v>30</v>
      </c>
      <c r="D43" s="7">
        <v>5</v>
      </c>
      <c r="E43" s="8">
        <v>682.5</v>
      </c>
      <c r="F43" s="9">
        <v>0</v>
      </c>
      <c r="G43" s="8">
        <f t="shared" si="0"/>
        <v>3412.5</v>
      </c>
      <c r="H43" s="8">
        <f t="shared" si="1"/>
        <v>2218.125</v>
      </c>
      <c r="I43" s="8">
        <f t="shared" si="2"/>
        <v>1194.375</v>
      </c>
      <c r="J43" s="7" t="s">
        <v>19</v>
      </c>
      <c r="K43" s="7" t="s">
        <v>34</v>
      </c>
      <c r="L43" s="10" t="s">
        <v>21</v>
      </c>
    </row>
    <row r="44" spans="1:12" x14ac:dyDescent="0.3">
      <c r="A44" s="6" t="s">
        <v>87</v>
      </c>
      <c r="B44" s="18">
        <v>45926</v>
      </c>
      <c r="C44" s="18" t="s">
        <v>88</v>
      </c>
      <c r="D44" s="7">
        <v>7</v>
      </c>
      <c r="E44" s="8">
        <v>1575</v>
      </c>
      <c r="F44" s="9">
        <v>0.2</v>
      </c>
      <c r="G44" s="8">
        <f t="shared" si="0"/>
        <v>8820</v>
      </c>
      <c r="H44" s="8">
        <f t="shared" si="1"/>
        <v>7166.25</v>
      </c>
      <c r="I44" s="8">
        <f t="shared" si="2"/>
        <v>1653.75</v>
      </c>
      <c r="J44" s="7" t="s">
        <v>19</v>
      </c>
      <c r="K44" s="7" t="s">
        <v>70</v>
      </c>
      <c r="L44" s="10" t="s">
        <v>21</v>
      </c>
    </row>
    <row r="45" spans="1:12" x14ac:dyDescent="0.3">
      <c r="A45" s="6" t="s">
        <v>89</v>
      </c>
      <c r="B45" s="18">
        <v>45810</v>
      </c>
      <c r="C45" s="18" t="s">
        <v>51</v>
      </c>
      <c r="D45" s="7">
        <v>6</v>
      </c>
      <c r="E45" s="8">
        <v>2470</v>
      </c>
      <c r="F45" s="9">
        <v>0.2</v>
      </c>
      <c r="G45" s="8">
        <f t="shared" si="0"/>
        <v>11856</v>
      </c>
      <c r="H45" s="8">
        <f t="shared" si="1"/>
        <v>9633</v>
      </c>
      <c r="I45" s="8">
        <f t="shared" si="2"/>
        <v>2223</v>
      </c>
      <c r="J45" s="7" t="s">
        <v>14</v>
      </c>
      <c r="K45" s="7" t="s">
        <v>47</v>
      </c>
      <c r="L45" s="10" t="s">
        <v>21</v>
      </c>
    </row>
    <row r="46" spans="1:12" x14ac:dyDescent="0.3">
      <c r="A46" s="6" t="s">
        <v>90</v>
      </c>
      <c r="B46" s="18">
        <v>45700</v>
      </c>
      <c r="C46" s="18" t="s">
        <v>60</v>
      </c>
      <c r="D46" s="7">
        <v>1</v>
      </c>
      <c r="E46" s="8">
        <v>2200</v>
      </c>
      <c r="F46" s="9">
        <v>0.1</v>
      </c>
      <c r="G46" s="8">
        <f t="shared" si="0"/>
        <v>1980</v>
      </c>
      <c r="H46" s="8">
        <f>D46*E46*65%</f>
        <v>1430</v>
      </c>
      <c r="I46" s="8">
        <f t="shared" si="2"/>
        <v>550</v>
      </c>
      <c r="J46" s="7" t="s">
        <v>14</v>
      </c>
      <c r="K46" s="7" t="s">
        <v>40</v>
      </c>
      <c r="L46" s="10" t="s">
        <v>16</v>
      </c>
    </row>
    <row r="47" spans="1:12" x14ac:dyDescent="0.3">
      <c r="A47" s="6" t="s">
        <v>91</v>
      </c>
      <c r="B47" s="18">
        <v>45763</v>
      </c>
      <c r="C47" s="18" t="s">
        <v>661</v>
      </c>
      <c r="D47" s="7">
        <v>3</v>
      </c>
      <c r="E47" s="8">
        <v>735</v>
      </c>
      <c r="F47" s="9">
        <v>0.05</v>
      </c>
      <c r="G47" s="8">
        <f t="shared" si="0"/>
        <v>2094.75</v>
      </c>
      <c r="H47" s="8">
        <f t="shared" si="1"/>
        <v>1433.25</v>
      </c>
      <c r="I47" s="8">
        <f t="shared" si="2"/>
        <v>661.5</v>
      </c>
      <c r="J47" s="7" t="s">
        <v>14</v>
      </c>
      <c r="K47" s="7" t="s">
        <v>40</v>
      </c>
      <c r="L47" s="10" t="s">
        <v>25</v>
      </c>
    </row>
    <row r="48" spans="1:12" x14ac:dyDescent="0.3">
      <c r="A48" s="6" t="s">
        <v>92</v>
      </c>
      <c r="B48" s="18">
        <v>45683</v>
      </c>
      <c r="C48" s="18" t="s">
        <v>88</v>
      </c>
      <c r="D48" s="7">
        <v>7</v>
      </c>
      <c r="E48" s="8">
        <v>1500</v>
      </c>
      <c r="F48" s="9">
        <v>0.05</v>
      </c>
      <c r="G48" s="8">
        <f t="shared" si="0"/>
        <v>9975</v>
      </c>
      <c r="H48" s="8">
        <f t="shared" si="1"/>
        <v>6825</v>
      </c>
      <c r="I48" s="8">
        <f t="shared" si="2"/>
        <v>3150</v>
      </c>
      <c r="J48" s="7" t="s">
        <v>27</v>
      </c>
      <c r="K48" s="7" t="s">
        <v>28</v>
      </c>
      <c r="L48" s="10" t="s">
        <v>16</v>
      </c>
    </row>
    <row r="49" spans="1:12" x14ac:dyDescent="0.3">
      <c r="A49" s="6" t="s">
        <v>93</v>
      </c>
      <c r="B49" s="18">
        <v>45768</v>
      </c>
      <c r="C49" s="18" t="s">
        <v>43</v>
      </c>
      <c r="D49" s="7">
        <v>8</v>
      </c>
      <c r="E49" s="8">
        <v>3040</v>
      </c>
      <c r="F49" s="9">
        <v>0.05</v>
      </c>
      <c r="G49" s="8">
        <f t="shared" si="0"/>
        <v>23104</v>
      </c>
      <c r="H49" s="8">
        <f t="shared" si="1"/>
        <v>15808</v>
      </c>
      <c r="I49" s="8">
        <f t="shared" si="2"/>
        <v>7296</v>
      </c>
      <c r="J49" s="7" t="s">
        <v>14</v>
      </c>
      <c r="K49" s="7" t="s">
        <v>47</v>
      </c>
      <c r="L49" s="10" t="s">
        <v>25</v>
      </c>
    </row>
    <row r="50" spans="1:12" x14ac:dyDescent="0.3">
      <c r="A50" s="6" t="s">
        <v>94</v>
      </c>
      <c r="B50" s="18">
        <v>45970</v>
      </c>
      <c r="C50" s="18" t="s">
        <v>39</v>
      </c>
      <c r="D50" s="7">
        <v>1</v>
      </c>
      <c r="E50" s="8">
        <v>12500</v>
      </c>
      <c r="F50" s="9">
        <v>0.05</v>
      </c>
      <c r="G50" s="8">
        <f t="shared" si="0"/>
        <v>11875</v>
      </c>
      <c r="H50" s="8">
        <f t="shared" si="1"/>
        <v>8125</v>
      </c>
      <c r="I50" s="8">
        <f t="shared" si="2"/>
        <v>3750</v>
      </c>
      <c r="J50" s="7" t="s">
        <v>95</v>
      </c>
      <c r="K50" s="7" t="s">
        <v>66</v>
      </c>
      <c r="L50" s="10" t="s">
        <v>25</v>
      </c>
    </row>
    <row r="51" spans="1:12" x14ac:dyDescent="0.3">
      <c r="A51" s="6" t="s">
        <v>96</v>
      </c>
      <c r="B51" s="18">
        <v>45729</v>
      </c>
      <c r="C51" s="18" t="s">
        <v>60</v>
      </c>
      <c r="D51" s="7">
        <v>7</v>
      </c>
      <c r="E51" s="8">
        <v>2200</v>
      </c>
      <c r="F51" s="9">
        <v>0.2</v>
      </c>
      <c r="G51" s="8">
        <f t="shared" si="0"/>
        <v>12320</v>
      </c>
      <c r="H51" s="8">
        <f t="shared" si="1"/>
        <v>10010</v>
      </c>
      <c r="I51" s="8">
        <f t="shared" si="2"/>
        <v>2310</v>
      </c>
      <c r="J51" s="7" t="s">
        <v>27</v>
      </c>
      <c r="K51" s="7" t="s">
        <v>49</v>
      </c>
      <c r="L51" s="10" t="s">
        <v>21</v>
      </c>
    </row>
    <row r="52" spans="1:12" x14ac:dyDescent="0.3">
      <c r="A52" s="6" t="s">
        <v>97</v>
      </c>
      <c r="B52" s="18">
        <v>45925</v>
      </c>
      <c r="C52" s="18" t="s">
        <v>88</v>
      </c>
      <c r="D52" s="7">
        <v>1</v>
      </c>
      <c r="E52" s="8">
        <v>1500</v>
      </c>
      <c r="F52" s="9">
        <v>0</v>
      </c>
      <c r="G52" s="8">
        <f t="shared" si="0"/>
        <v>1500</v>
      </c>
      <c r="H52" s="8">
        <f t="shared" si="1"/>
        <v>975</v>
      </c>
      <c r="I52" s="8">
        <f t="shared" si="2"/>
        <v>525</v>
      </c>
      <c r="J52" s="7" t="s">
        <v>23</v>
      </c>
      <c r="K52" s="7" t="s">
        <v>66</v>
      </c>
      <c r="L52" s="10" t="s">
        <v>16</v>
      </c>
    </row>
    <row r="53" spans="1:12" x14ac:dyDescent="0.3">
      <c r="A53" s="6" t="s">
        <v>98</v>
      </c>
      <c r="B53" s="18">
        <v>45979</v>
      </c>
      <c r="C53" s="18" t="s">
        <v>43</v>
      </c>
      <c r="D53" s="7">
        <v>7</v>
      </c>
      <c r="E53" s="8">
        <v>3040</v>
      </c>
      <c r="F53" s="9">
        <v>0.2</v>
      </c>
      <c r="G53" s="8">
        <f t="shared" si="0"/>
        <v>17024</v>
      </c>
      <c r="H53" s="8">
        <f t="shared" si="1"/>
        <v>13832</v>
      </c>
      <c r="I53" s="8">
        <f t="shared" si="2"/>
        <v>3192</v>
      </c>
      <c r="J53" s="7" t="s">
        <v>14</v>
      </c>
      <c r="K53" s="7" t="s">
        <v>36</v>
      </c>
      <c r="L53" s="10" t="s">
        <v>21</v>
      </c>
    </row>
    <row r="54" spans="1:12" x14ac:dyDescent="0.3">
      <c r="A54" s="6" t="s">
        <v>99</v>
      </c>
      <c r="B54" s="18">
        <v>46104</v>
      </c>
      <c r="C54" s="18" t="s">
        <v>13</v>
      </c>
      <c r="D54" s="7">
        <v>6</v>
      </c>
      <c r="E54" s="8">
        <v>52000</v>
      </c>
      <c r="F54" s="9">
        <v>0.15</v>
      </c>
      <c r="G54" s="8">
        <f t="shared" si="0"/>
        <v>265200</v>
      </c>
      <c r="H54" s="8">
        <f t="shared" si="1"/>
        <v>202800</v>
      </c>
      <c r="I54" s="8">
        <f t="shared" si="2"/>
        <v>62400</v>
      </c>
      <c r="J54" s="7" t="s">
        <v>19</v>
      </c>
      <c r="K54" s="7" t="s">
        <v>34</v>
      </c>
      <c r="L54" s="10" t="s">
        <v>16</v>
      </c>
    </row>
    <row r="55" spans="1:12" x14ac:dyDescent="0.3">
      <c r="A55" s="6" t="s">
        <v>100</v>
      </c>
      <c r="B55" s="18">
        <v>45979</v>
      </c>
      <c r="C55" s="18" t="s">
        <v>30</v>
      </c>
      <c r="D55" s="7">
        <v>5</v>
      </c>
      <c r="E55" s="8">
        <v>650</v>
      </c>
      <c r="F55" s="9">
        <v>0.15</v>
      </c>
      <c r="G55" s="8">
        <f t="shared" si="0"/>
        <v>2762.5</v>
      </c>
      <c r="H55" s="8">
        <f t="shared" si="1"/>
        <v>2112.5</v>
      </c>
      <c r="I55" s="8">
        <f t="shared" si="2"/>
        <v>650</v>
      </c>
      <c r="J55" s="7" t="s">
        <v>27</v>
      </c>
      <c r="K55" s="7" t="s">
        <v>52</v>
      </c>
      <c r="L55" s="10" t="s">
        <v>16</v>
      </c>
    </row>
    <row r="56" spans="1:12" x14ac:dyDescent="0.3">
      <c r="A56" s="6" t="s">
        <v>101</v>
      </c>
      <c r="B56" s="18">
        <v>45960</v>
      </c>
      <c r="C56" s="18" t="s">
        <v>51</v>
      </c>
      <c r="D56" s="7">
        <v>4</v>
      </c>
      <c r="E56" s="8">
        <v>2600</v>
      </c>
      <c r="F56" s="9">
        <v>0.15</v>
      </c>
      <c r="G56" s="8">
        <f t="shared" si="0"/>
        <v>8840</v>
      </c>
      <c r="H56" s="8">
        <f t="shared" si="1"/>
        <v>6760</v>
      </c>
      <c r="I56" s="8">
        <f t="shared" si="2"/>
        <v>2080</v>
      </c>
      <c r="J56" s="7" t="s">
        <v>23</v>
      </c>
      <c r="K56" s="7" t="s">
        <v>24</v>
      </c>
      <c r="L56" s="10" t="s">
        <v>16</v>
      </c>
    </row>
    <row r="57" spans="1:12" x14ac:dyDescent="0.3">
      <c r="A57" s="6" t="s">
        <v>102</v>
      </c>
      <c r="B57" s="18">
        <v>45966</v>
      </c>
      <c r="C57" s="18" t="s">
        <v>43</v>
      </c>
      <c r="D57" s="7">
        <v>5</v>
      </c>
      <c r="E57" s="8">
        <v>3040</v>
      </c>
      <c r="F57" s="9">
        <v>0.1</v>
      </c>
      <c r="G57" s="8">
        <f t="shared" si="0"/>
        <v>13680</v>
      </c>
      <c r="H57" s="8">
        <f t="shared" si="1"/>
        <v>9880</v>
      </c>
      <c r="I57" s="8">
        <f t="shared" si="2"/>
        <v>3800</v>
      </c>
      <c r="J57" s="7" t="s">
        <v>14</v>
      </c>
      <c r="K57" s="7" t="s">
        <v>47</v>
      </c>
      <c r="L57" s="10" t="s">
        <v>16</v>
      </c>
    </row>
    <row r="58" spans="1:12" x14ac:dyDescent="0.3">
      <c r="A58" s="6" t="s">
        <v>103</v>
      </c>
      <c r="B58" s="18">
        <v>45987</v>
      </c>
      <c r="C58" s="18" t="s">
        <v>56</v>
      </c>
      <c r="D58" s="7">
        <v>8</v>
      </c>
      <c r="E58" s="8">
        <v>10290</v>
      </c>
      <c r="F58" s="9">
        <v>0.05</v>
      </c>
      <c r="G58" s="8">
        <f t="shared" si="0"/>
        <v>78204</v>
      </c>
      <c r="H58" s="8">
        <f t="shared" si="1"/>
        <v>53508</v>
      </c>
      <c r="I58" s="8">
        <f t="shared" si="2"/>
        <v>24696</v>
      </c>
      <c r="J58" s="7" t="s">
        <v>23</v>
      </c>
      <c r="K58" s="7" t="s">
        <v>24</v>
      </c>
      <c r="L58" s="10" t="s">
        <v>16</v>
      </c>
    </row>
    <row r="59" spans="1:12" x14ac:dyDescent="0.3">
      <c r="A59" s="6" t="s">
        <v>104</v>
      </c>
      <c r="B59" s="18">
        <v>45744</v>
      </c>
      <c r="C59" s="18" t="s">
        <v>60</v>
      </c>
      <c r="D59" s="7">
        <v>2</v>
      </c>
      <c r="E59" s="8">
        <v>2200</v>
      </c>
      <c r="F59" s="9">
        <v>0.05</v>
      </c>
      <c r="G59" s="8">
        <f t="shared" si="0"/>
        <v>4180</v>
      </c>
      <c r="H59" s="8">
        <f t="shared" si="1"/>
        <v>2860</v>
      </c>
      <c r="I59" s="8">
        <f t="shared" si="2"/>
        <v>1320</v>
      </c>
      <c r="J59" s="7" t="s">
        <v>27</v>
      </c>
      <c r="K59" s="7" t="s">
        <v>28</v>
      </c>
      <c r="L59" s="10" t="s">
        <v>21</v>
      </c>
    </row>
    <row r="60" spans="1:12" x14ac:dyDescent="0.3">
      <c r="A60" s="6" t="s">
        <v>105</v>
      </c>
      <c r="B60" s="18">
        <v>45808</v>
      </c>
      <c r="C60" s="18" t="s">
        <v>13</v>
      </c>
      <c r="D60" s="7">
        <v>4</v>
      </c>
      <c r="E60" s="8">
        <v>49400</v>
      </c>
      <c r="F60" s="9">
        <v>0.15</v>
      </c>
      <c r="G60" s="8">
        <f t="shared" si="0"/>
        <v>167960</v>
      </c>
      <c r="H60" s="8">
        <f t="shared" si="1"/>
        <v>128440</v>
      </c>
      <c r="I60" s="8">
        <f t="shared" si="2"/>
        <v>39520</v>
      </c>
      <c r="J60" s="7" t="s">
        <v>19</v>
      </c>
      <c r="K60" s="7" t="s">
        <v>79</v>
      </c>
      <c r="L60" s="10" t="s">
        <v>25</v>
      </c>
    </row>
    <row r="61" spans="1:12" x14ac:dyDescent="0.3">
      <c r="A61" s="6" t="s">
        <v>106</v>
      </c>
      <c r="B61" s="18">
        <v>45857</v>
      </c>
      <c r="C61" s="18" t="s">
        <v>43</v>
      </c>
      <c r="D61" s="7">
        <v>7</v>
      </c>
      <c r="E61" s="8">
        <v>3360</v>
      </c>
      <c r="F61" s="9">
        <v>0.05</v>
      </c>
      <c r="G61" s="8">
        <f t="shared" si="0"/>
        <v>22344</v>
      </c>
      <c r="H61" s="8">
        <f t="shared" si="1"/>
        <v>15288</v>
      </c>
      <c r="I61" s="8">
        <f t="shared" si="2"/>
        <v>7056</v>
      </c>
      <c r="J61" s="7" t="s">
        <v>14</v>
      </c>
      <c r="K61" s="7" t="s">
        <v>15</v>
      </c>
      <c r="L61" s="10" t="s">
        <v>21</v>
      </c>
    </row>
    <row r="62" spans="1:12" x14ac:dyDescent="0.3">
      <c r="A62" s="6" t="s">
        <v>107</v>
      </c>
      <c r="B62" s="18">
        <v>46093</v>
      </c>
      <c r="C62" s="18" t="s">
        <v>39</v>
      </c>
      <c r="D62" s="7">
        <v>8</v>
      </c>
      <c r="E62" s="8">
        <v>12500</v>
      </c>
      <c r="F62" s="9">
        <v>0</v>
      </c>
      <c r="G62" s="8">
        <f t="shared" si="0"/>
        <v>100000</v>
      </c>
      <c r="H62" s="8">
        <f t="shared" si="1"/>
        <v>65000</v>
      </c>
      <c r="I62" s="8">
        <f t="shared" si="2"/>
        <v>35000</v>
      </c>
      <c r="J62" s="7" t="s">
        <v>14</v>
      </c>
      <c r="K62" s="7" t="s">
        <v>15</v>
      </c>
      <c r="L62" s="10" t="s">
        <v>25</v>
      </c>
    </row>
    <row r="63" spans="1:12" x14ac:dyDescent="0.3">
      <c r="A63" s="6" t="s">
        <v>108</v>
      </c>
      <c r="B63" s="18">
        <v>45794</v>
      </c>
      <c r="C63" s="18" t="s">
        <v>56</v>
      </c>
      <c r="D63" s="7">
        <v>8</v>
      </c>
      <c r="E63" s="8">
        <v>9800</v>
      </c>
      <c r="F63" s="9">
        <v>0.2</v>
      </c>
      <c r="G63" s="8">
        <f t="shared" si="0"/>
        <v>62720</v>
      </c>
      <c r="H63" s="8">
        <f t="shared" si="1"/>
        <v>50960</v>
      </c>
      <c r="I63" s="8">
        <f t="shared" si="2"/>
        <v>11760</v>
      </c>
      <c r="J63" s="7" t="s">
        <v>23</v>
      </c>
      <c r="K63" s="7" t="s">
        <v>72</v>
      </c>
      <c r="L63" s="10" t="s">
        <v>21</v>
      </c>
    </row>
    <row r="64" spans="1:12" x14ac:dyDescent="0.3">
      <c r="A64" s="6" t="s">
        <v>109</v>
      </c>
      <c r="B64" s="18">
        <v>46144</v>
      </c>
      <c r="C64" s="18" t="s">
        <v>56</v>
      </c>
      <c r="D64" s="7">
        <v>4</v>
      </c>
      <c r="E64" s="8">
        <v>9800</v>
      </c>
      <c r="F64" s="9">
        <v>0.1</v>
      </c>
      <c r="G64" s="8">
        <f t="shared" si="0"/>
        <v>35280</v>
      </c>
      <c r="H64" s="8">
        <f t="shared" si="1"/>
        <v>25480</v>
      </c>
      <c r="I64" s="8">
        <f t="shared" si="2"/>
        <v>9800</v>
      </c>
      <c r="J64" s="7" t="s">
        <v>23</v>
      </c>
      <c r="K64" s="7" t="s">
        <v>24</v>
      </c>
      <c r="L64" s="10" t="s">
        <v>25</v>
      </c>
    </row>
    <row r="65" spans="1:12" x14ac:dyDescent="0.3">
      <c r="A65" s="6" t="s">
        <v>110</v>
      </c>
      <c r="B65" s="18">
        <v>46108</v>
      </c>
      <c r="C65" s="18" t="s">
        <v>30</v>
      </c>
      <c r="D65" s="7">
        <v>4</v>
      </c>
      <c r="E65" s="8">
        <v>650</v>
      </c>
      <c r="F65" s="9">
        <v>0.1</v>
      </c>
      <c r="G65" s="8">
        <f t="shared" si="0"/>
        <v>2340</v>
      </c>
      <c r="H65" s="8">
        <f t="shared" si="1"/>
        <v>1690</v>
      </c>
      <c r="I65" s="8">
        <f t="shared" si="2"/>
        <v>650</v>
      </c>
      <c r="J65" s="7" t="s">
        <v>27</v>
      </c>
      <c r="K65" s="7" t="s">
        <v>31</v>
      </c>
      <c r="L65" s="10" t="s">
        <v>16</v>
      </c>
    </row>
    <row r="66" spans="1:12" x14ac:dyDescent="0.3">
      <c r="A66" s="6" t="s">
        <v>111</v>
      </c>
      <c r="B66" s="18">
        <v>45740</v>
      </c>
      <c r="C66" s="18" t="s">
        <v>88</v>
      </c>
      <c r="D66" s="7">
        <v>4</v>
      </c>
      <c r="E66" s="8">
        <v>1500</v>
      </c>
      <c r="F66" s="9">
        <v>0.15</v>
      </c>
      <c r="G66" s="8">
        <f t="shared" si="0"/>
        <v>5100</v>
      </c>
      <c r="H66" s="8">
        <f t="shared" si="1"/>
        <v>3900</v>
      </c>
      <c r="I66" s="8">
        <f t="shared" si="2"/>
        <v>1200</v>
      </c>
      <c r="J66" s="7" t="s">
        <v>14</v>
      </c>
      <c r="K66" s="7" t="s">
        <v>40</v>
      </c>
      <c r="L66" s="10" t="s">
        <v>21</v>
      </c>
    </row>
    <row r="67" spans="1:12" x14ac:dyDescent="0.3">
      <c r="A67" s="6" t="s">
        <v>112</v>
      </c>
      <c r="B67" s="18">
        <v>46082</v>
      </c>
      <c r="C67" s="18" t="s">
        <v>43</v>
      </c>
      <c r="D67" s="7">
        <v>8</v>
      </c>
      <c r="E67" s="8">
        <v>3200</v>
      </c>
      <c r="F67" s="9">
        <v>0.15</v>
      </c>
      <c r="G67" s="8">
        <f t="shared" ref="G67:G130" si="3">D67*E67*(1-F67)</f>
        <v>21760</v>
      </c>
      <c r="H67" s="8">
        <f t="shared" ref="H67:H130" si="4">D67*E67*65%</f>
        <v>16640</v>
      </c>
      <c r="I67" s="8">
        <f t="shared" ref="I67:I130" si="5">G67-H67</f>
        <v>5120</v>
      </c>
      <c r="J67" s="7" t="s">
        <v>19</v>
      </c>
      <c r="K67" s="7" t="s">
        <v>20</v>
      </c>
      <c r="L67" s="10" t="s">
        <v>113</v>
      </c>
    </row>
    <row r="68" spans="1:12" x14ac:dyDescent="0.3">
      <c r="A68" s="6" t="s">
        <v>114</v>
      </c>
      <c r="B68" s="18">
        <v>46056</v>
      </c>
      <c r="C68" s="18" t="s">
        <v>18</v>
      </c>
      <c r="D68" s="7">
        <v>7</v>
      </c>
      <c r="E68" s="8">
        <v>1710</v>
      </c>
      <c r="F68" s="9">
        <v>0.15</v>
      </c>
      <c r="G68" s="8">
        <f t="shared" si="3"/>
        <v>10174.5</v>
      </c>
      <c r="H68" s="8">
        <f t="shared" si="4"/>
        <v>7780.5</v>
      </c>
      <c r="I68" s="8">
        <f t="shared" si="5"/>
        <v>2394</v>
      </c>
      <c r="J68" s="7" t="s">
        <v>19</v>
      </c>
      <c r="K68" s="7" t="s">
        <v>34</v>
      </c>
      <c r="L68" s="10" t="s">
        <v>25</v>
      </c>
    </row>
    <row r="69" spans="1:12" x14ac:dyDescent="0.3">
      <c r="A69" s="6" t="s">
        <v>115</v>
      </c>
      <c r="B69" s="18">
        <v>46057</v>
      </c>
      <c r="C69" s="18" t="s">
        <v>43</v>
      </c>
      <c r="D69" s="7">
        <v>8</v>
      </c>
      <c r="E69" s="8">
        <v>3200</v>
      </c>
      <c r="F69" s="9">
        <v>0.05</v>
      </c>
      <c r="G69" s="8">
        <f t="shared" si="3"/>
        <v>24320</v>
      </c>
      <c r="H69" s="8">
        <f t="shared" si="4"/>
        <v>16640</v>
      </c>
      <c r="I69" s="8">
        <f t="shared" si="5"/>
        <v>7680</v>
      </c>
      <c r="J69" s="7" t="s">
        <v>27</v>
      </c>
      <c r="K69" s="7" t="s">
        <v>52</v>
      </c>
      <c r="L69" s="10" t="s">
        <v>25</v>
      </c>
    </row>
    <row r="70" spans="1:12" x14ac:dyDescent="0.3">
      <c r="A70" s="6" t="s">
        <v>116</v>
      </c>
      <c r="B70" s="18">
        <v>45687</v>
      </c>
      <c r="C70" s="18" t="s">
        <v>43</v>
      </c>
      <c r="D70" s="7">
        <v>7</v>
      </c>
      <c r="E70" s="8">
        <v>3200</v>
      </c>
      <c r="F70" s="9">
        <v>0.05</v>
      </c>
      <c r="G70" s="8">
        <f t="shared" si="3"/>
        <v>21280</v>
      </c>
      <c r="H70" s="8">
        <f t="shared" si="4"/>
        <v>14560</v>
      </c>
      <c r="I70" s="8">
        <f t="shared" si="5"/>
        <v>6720</v>
      </c>
      <c r="J70" s="7" t="s">
        <v>23</v>
      </c>
      <c r="K70" s="7" t="s">
        <v>24</v>
      </c>
      <c r="L70" s="10" t="s">
        <v>16</v>
      </c>
    </row>
    <row r="71" spans="1:12" x14ac:dyDescent="0.3">
      <c r="A71" s="6" t="s">
        <v>117</v>
      </c>
      <c r="B71" s="18">
        <v>45685</v>
      </c>
      <c r="C71" s="18" t="s">
        <v>43</v>
      </c>
      <c r="D71" s="7">
        <v>2</v>
      </c>
      <c r="E71" s="8">
        <v>3040</v>
      </c>
      <c r="F71" s="9">
        <v>0.15</v>
      </c>
      <c r="G71" s="8">
        <f t="shared" si="3"/>
        <v>5168</v>
      </c>
      <c r="H71" s="8">
        <f t="shared" si="4"/>
        <v>3952</v>
      </c>
      <c r="I71" s="8">
        <f t="shared" si="5"/>
        <v>1216</v>
      </c>
      <c r="J71" s="7" t="s">
        <v>14</v>
      </c>
      <c r="K71" s="7" t="s">
        <v>47</v>
      </c>
      <c r="L71" s="10" t="s">
        <v>21</v>
      </c>
    </row>
    <row r="72" spans="1:12" x14ac:dyDescent="0.3">
      <c r="A72" s="6" t="s">
        <v>118</v>
      </c>
      <c r="B72" s="18">
        <v>45709</v>
      </c>
      <c r="C72" s="18" t="s">
        <v>60</v>
      </c>
      <c r="D72" s="7">
        <v>6</v>
      </c>
      <c r="E72" s="8">
        <v>2310</v>
      </c>
      <c r="F72" s="9">
        <v>0.05</v>
      </c>
      <c r="G72" s="8">
        <f t="shared" si="3"/>
        <v>13167</v>
      </c>
      <c r="H72" s="8">
        <f t="shared" si="4"/>
        <v>9009</v>
      </c>
      <c r="I72" s="8">
        <f t="shared" si="5"/>
        <v>4158</v>
      </c>
      <c r="J72" s="7" t="s">
        <v>23</v>
      </c>
      <c r="K72" s="7" t="s">
        <v>66</v>
      </c>
      <c r="L72" s="10" t="s">
        <v>25</v>
      </c>
    </row>
    <row r="73" spans="1:12" x14ac:dyDescent="0.3">
      <c r="A73" s="6" t="s">
        <v>119</v>
      </c>
      <c r="B73" s="18">
        <v>46046</v>
      </c>
      <c r="C73" s="18" t="s">
        <v>60</v>
      </c>
      <c r="D73" s="7">
        <v>5</v>
      </c>
      <c r="E73" s="8">
        <v>2310</v>
      </c>
      <c r="F73" s="9">
        <v>0</v>
      </c>
      <c r="G73" s="8">
        <f t="shared" si="3"/>
        <v>11550</v>
      </c>
      <c r="H73" s="8">
        <f t="shared" si="4"/>
        <v>7507.5</v>
      </c>
      <c r="I73" s="8">
        <f t="shared" si="5"/>
        <v>4042.5</v>
      </c>
      <c r="J73" s="7" t="s">
        <v>23</v>
      </c>
      <c r="K73" s="7" t="s">
        <v>61</v>
      </c>
      <c r="L73" s="10" t="s">
        <v>16</v>
      </c>
    </row>
    <row r="74" spans="1:12" x14ac:dyDescent="0.3">
      <c r="A74" s="6" t="s">
        <v>120</v>
      </c>
      <c r="B74" s="18">
        <v>45711</v>
      </c>
      <c r="C74" s="18" t="s">
        <v>661</v>
      </c>
      <c r="D74" s="7">
        <v>2</v>
      </c>
      <c r="E74" s="8">
        <v>700</v>
      </c>
      <c r="F74" s="9">
        <v>0</v>
      </c>
      <c r="G74" s="8">
        <f t="shared" si="3"/>
        <v>1400</v>
      </c>
      <c r="H74" s="8">
        <f t="shared" si="4"/>
        <v>910</v>
      </c>
      <c r="I74" s="8">
        <f t="shared" si="5"/>
        <v>490</v>
      </c>
      <c r="J74" s="7" t="s">
        <v>19</v>
      </c>
      <c r="K74" s="7" t="s">
        <v>20</v>
      </c>
      <c r="L74" s="10" t="s">
        <v>21</v>
      </c>
    </row>
    <row r="75" spans="1:12" x14ac:dyDescent="0.3">
      <c r="A75" s="6" t="s">
        <v>121</v>
      </c>
      <c r="B75" s="18">
        <v>45678</v>
      </c>
      <c r="C75" s="18" t="s">
        <v>18</v>
      </c>
      <c r="D75" s="7">
        <v>4</v>
      </c>
      <c r="E75" s="8">
        <v>1800</v>
      </c>
      <c r="F75" s="9">
        <v>0.05</v>
      </c>
      <c r="G75" s="8">
        <f t="shared" si="3"/>
        <v>6840</v>
      </c>
      <c r="H75" s="8">
        <f t="shared" si="4"/>
        <v>4680</v>
      </c>
      <c r="I75" s="8">
        <f t="shared" si="5"/>
        <v>2160</v>
      </c>
      <c r="J75" s="7" t="s">
        <v>23</v>
      </c>
      <c r="K75" s="7" t="s">
        <v>61</v>
      </c>
      <c r="L75" s="10" t="s">
        <v>16</v>
      </c>
    </row>
    <row r="76" spans="1:12" x14ac:dyDescent="0.3">
      <c r="A76" s="6" t="s">
        <v>122</v>
      </c>
      <c r="B76" s="18">
        <v>45881</v>
      </c>
      <c r="C76" s="18" t="s">
        <v>56</v>
      </c>
      <c r="D76" s="7">
        <v>6</v>
      </c>
      <c r="E76" s="8">
        <v>9800</v>
      </c>
      <c r="F76" s="9">
        <v>0.05</v>
      </c>
      <c r="G76" s="8">
        <f t="shared" si="3"/>
        <v>55860</v>
      </c>
      <c r="H76" s="8">
        <f t="shared" si="4"/>
        <v>38220</v>
      </c>
      <c r="I76" s="8">
        <f t="shared" si="5"/>
        <v>17640</v>
      </c>
      <c r="J76" s="7" t="s">
        <v>19</v>
      </c>
      <c r="K76" s="7" t="s">
        <v>20</v>
      </c>
      <c r="L76" s="10" t="s">
        <v>25</v>
      </c>
    </row>
    <row r="77" spans="1:12" x14ac:dyDescent="0.3">
      <c r="A77" s="6" t="s">
        <v>123</v>
      </c>
      <c r="B77" s="18">
        <v>45768</v>
      </c>
      <c r="C77" s="18" t="s">
        <v>18</v>
      </c>
      <c r="D77" s="7">
        <v>5</v>
      </c>
      <c r="E77" s="8">
        <v>1710</v>
      </c>
      <c r="F77" s="9">
        <v>0.2</v>
      </c>
      <c r="G77" s="8">
        <f t="shared" si="3"/>
        <v>6840</v>
      </c>
      <c r="H77" s="8">
        <f t="shared" si="4"/>
        <v>5557.5</v>
      </c>
      <c r="I77" s="8">
        <f t="shared" si="5"/>
        <v>1282.5</v>
      </c>
      <c r="J77" s="7" t="s">
        <v>23</v>
      </c>
      <c r="K77" s="7" t="s">
        <v>72</v>
      </c>
      <c r="L77" s="10" t="s">
        <v>16</v>
      </c>
    </row>
    <row r="78" spans="1:12" x14ac:dyDescent="0.3">
      <c r="A78" s="6" t="s">
        <v>124</v>
      </c>
      <c r="B78" s="18">
        <v>45861</v>
      </c>
      <c r="C78" s="18" t="s">
        <v>30</v>
      </c>
      <c r="D78" s="7">
        <v>2</v>
      </c>
      <c r="E78" s="8">
        <v>650</v>
      </c>
      <c r="F78" s="9">
        <v>0.1</v>
      </c>
      <c r="G78" s="8">
        <f t="shared" si="3"/>
        <v>1170</v>
      </c>
      <c r="H78" s="8">
        <f t="shared" si="4"/>
        <v>845</v>
      </c>
      <c r="I78" s="8">
        <f t="shared" si="5"/>
        <v>325</v>
      </c>
      <c r="J78" s="7" t="s">
        <v>19</v>
      </c>
      <c r="K78" s="7" t="s">
        <v>70</v>
      </c>
      <c r="L78" s="10" t="s">
        <v>25</v>
      </c>
    </row>
    <row r="79" spans="1:12" x14ac:dyDescent="0.3">
      <c r="A79" s="6" t="s">
        <v>125</v>
      </c>
      <c r="B79" s="18">
        <v>46203</v>
      </c>
      <c r="C79" s="18" t="s">
        <v>43</v>
      </c>
      <c r="D79" s="7">
        <v>2</v>
      </c>
      <c r="E79" s="8">
        <v>3200</v>
      </c>
      <c r="F79" s="9">
        <v>0.2</v>
      </c>
      <c r="G79" s="8">
        <f t="shared" si="3"/>
        <v>5120</v>
      </c>
      <c r="H79" s="8">
        <f t="shared" si="4"/>
        <v>4160</v>
      </c>
      <c r="I79" s="8">
        <f t="shared" si="5"/>
        <v>960</v>
      </c>
      <c r="J79" s="7" t="s">
        <v>27</v>
      </c>
      <c r="K79" s="7" t="s">
        <v>49</v>
      </c>
      <c r="L79" s="10" t="s">
        <v>25</v>
      </c>
    </row>
    <row r="80" spans="1:12" x14ac:dyDescent="0.3">
      <c r="A80" s="6" t="s">
        <v>126</v>
      </c>
      <c r="B80" s="18">
        <v>46159</v>
      </c>
      <c r="C80" s="18" t="s">
        <v>30</v>
      </c>
      <c r="D80" s="7">
        <v>6</v>
      </c>
      <c r="E80" s="8">
        <v>682.5</v>
      </c>
      <c r="F80" s="9">
        <v>0.15</v>
      </c>
      <c r="G80" s="8">
        <f t="shared" si="3"/>
        <v>3480.75</v>
      </c>
      <c r="H80" s="8">
        <f t="shared" si="4"/>
        <v>2661.75</v>
      </c>
      <c r="I80" s="8">
        <f t="shared" si="5"/>
        <v>819</v>
      </c>
      <c r="J80" s="7" t="s">
        <v>14</v>
      </c>
      <c r="K80" s="7" t="s">
        <v>47</v>
      </c>
      <c r="L80" s="10" t="s">
        <v>21</v>
      </c>
    </row>
    <row r="81" spans="1:12" x14ac:dyDescent="0.3">
      <c r="A81" s="6" t="s">
        <v>127</v>
      </c>
      <c r="B81" s="18">
        <v>46192</v>
      </c>
      <c r="C81" s="18" t="s">
        <v>60</v>
      </c>
      <c r="D81" s="7">
        <v>8</v>
      </c>
      <c r="E81" s="8">
        <v>2310</v>
      </c>
      <c r="F81" s="9">
        <v>0.15</v>
      </c>
      <c r="G81" s="8">
        <f t="shared" si="3"/>
        <v>15708</v>
      </c>
      <c r="H81" s="8">
        <f t="shared" si="4"/>
        <v>12012</v>
      </c>
      <c r="I81" s="8">
        <f t="shared" si="5"/>
        <v>3696</v>
      </c>
      <c r="J81" s="7" t="s">
        <v>27</v>
      </c>
      <c r="K81" s="7" t="s">
        <v>31</v>
      </c>
      <c r="L81" s="10" t="s">
        <v>21</v>
      </c>
    </row>
    <row r="82" spans="1:12" x14ac:dyDescent="0.3">
      <c r="A82" s="6" t="s">
        <v>128</v>
      </c>
      <c r="B82" s="18">
        <v>45746</v>
      </c>
      <c r="C82" s="18" t="s">
        <v>60</v>
      </c>
      <c r="D82" s="7">
        <v>4</v>
      </c>
      <c r="E82" s="8">
        <v>2310</v>
      </c>
      <c r="F82" s="9">
        <v>0.15</v>
      </c>
      <c r="G82" s="8">
        <f t="shared" si="3"/>
        <v>7854</v>
      </c>
      <c r="H82" s="8">
        <f t="shared" si="4"/>
        <v>6006</v>
      </c>
      <c r="I82" s="8">
        <f t="shared" si="5"/>
        <v>1848</v>
      </c>
      <c r="J82" s="7" t="s">
        <v>23</v>
      </c>
      <c r="K82" s="7" t="s">
        <v>66</v>
      </c>
      <c r="L82" s="10" t="s">
        <v>21</v>
      </c>
    </row>
    <row r="83" spans="1:12" x14ac:dyDescent="0.3">
      <c r="A83" s="6" t="s">
        <v>129</v>
      </c>
      <c r="B83" s="18">
        <v>46164</v>
      </c>
      <c r="C83" s="18" t="s">
        <v>661</v>
      </c>
      <c r="D83" s="7">
        <v>8</v>
      </c>
      <c r="E83" s="8">
        <v>700</v>
      </c>
      <c r="F83" s="9">
        <v>0.05</v>
      </c>
      <c r="G83" s="8">
        <f t="shared" si="3"/>
        <v>5320</v>
      </c>
      <c r="H83" s="8">
        <f t="shared" si="4"/>
        <v>3640</v>
      </c>
      <c r="I83" s="8">
        <f t="shared" si="5"/>
        <v>1680</v>
      </c>
      <c r="J83" s="7" t="s">
        <v>27</v>
      </c>
      <c r="K83" s="7" t="s">
        <v>31</v>
      </c>
      <c r="L83" s="10" t="s">
        <v>25</v>
      </c>
    </row>
    <row r="84" spans="1:12" x14ac:dyDescent="0.3">
      <c r="A84" s="6" t="s">
        <v>130</v>
      </c>
      <c r="B84" s="18">
        <v>45944</v>
      </c>
      <c r="C84" s="18" t="s">
        <v>18</v>
      </c>
      <c r="D84" s="7">
        <v>1</v>
      </c>
      <c r="E84" s="8">
        <v>1800</v>
      </c>
      <c r="F84" s="9">
        <v>0.2</v>
      </c>
      <c r="G84" s="8">
        <f t="shared" si="3"/>
        <v>1440</v>
      </c>
      <c r="H84" s="8">
        <f t="shared" si="4"/>
        <v>1170</v>
      </c>
      <c r="I84" s="8">
        <f t="shared" si="5"/>
        <v>270</v>
      </c>
      <c r="J84" s="7" t="s">
        <v>14</v>
      </c>
      <c r="K84" s="7" t="s">
        <v>15</v>
      </c>
      <c r="L84" s="10" t="s">
        <v>21</v>
      </c>
    </row>
    <row r="85" spans="1:12" x14ac:dyDescent="0.3">
      <c r="A85" s="6" t="s">
        <v>131</v>
      </c>
      <c r="B85" s="18">
        <v>46074</v>
      </c>
      <c r="C85" s="18" t="s">
        <v>56</v>
      </c>
      <c r="D85" s="7">
        <v>8</v>
      </c>
      <c r="E85" s="8">
        <v>9800</v>
      </c>
      <c r="F85" s="9">
        <v>0.15</v>
      </c>
      <c r="G85" s="8">
        <f t="shared" si="3"/>
        <v>66640</v>
      </c>
      <c r="H85" s="8">
        <f t="shared" si="4"/>
        <v>50960</v>
      </c>
      <c r="I85" s="8">
        <f t="shared" si="5"/>
        <v>15680</v>
      </c>
      <c r="J85" s="7" t="s">
        <v>23</v>
      </c>
      <c r="K85" s="7" t="s">
        <v>61</v>
      </c>
      <c r="L85" s="10" t="s">
        <v>21</v>
      </c>
    </row>
    <row r="86" spans="1:12" x14ac:dyDescent="0.3">
      <c r="A86" s="6" t="s">
        <v>132</v>
      </c>
      <c r="B86" s="18">
        <v>45959</v>
      </c>
      <c r="C86" s="18" t="s">
        <v>39</v>
      </c>
      <c r="D86" s="7">
        <v>4</v>
      </c>
      <c r="E86" s="8">
        <v>13125</v>
      </c>
      <c r="F86" s="9">
        <v>0.1</v>
      </c>
      <c r="G86" s="8">
        <f t="shared" si="3"/>
        <v>47250</v>
      </c>
      <c r="H86" s="8">
        <f t="shared" si="4"/>
        <v>34125</v>
      </c>
      <c r="I86" s="8">
        <f t="shared" si="5"/>
        <v>13125</v>
      </c>
      <c r="J86" s="7" t="s">
        <v>27</v>
      </c>
      <c r="K86" s="7" t="s">
        <v>52</v>
      </c>
      <c r="L86" s="10" t="s">
        <v>16</v>
      </c>
    </row>
    <row r="87" spans="1:12" x14ac:dyDescent="0.3">
      <c r="A87" s="6" t="s">
        <v>133</v>
      </c>
      <c r="B87" s="18">
        <v>46201</v>
      </c>
      <c r="C87" s="18" t="s">
        <v>661</v>
      </c>
      <c r="D87" s="7">
        <v>6</v>
      </c>
      <c r="E87" s="8">
        <v>735</v>
      </c>
      <c r="F87" s="9">
        <v>0.1</v>
      </c>
      <c r="G87" s="8">
        <f t="shared" si="3"/>
        <v>3969</v>
      </c>
      <c r="H87" s="8">
        <f t="shared" si="4"/>
        <v>2866.5</v>
      </c>
      <c r="I87" s="8">
        <f t="shared" si="5"/>
        <v>1102.5</v>
      </c>
      <c r="J87" s="7" t="s">
        <v>23</v>
      </c>
      <c r="K87" s="7" t="s">
        <v>66</v>
      </c>
      <c r="L87" s="10" t="s">
        <v>25</v>
      </c>
    </row>
    <row r="88" spans="1:12" x14ac:dyDescent="0.3">
      <c r="A88" s="6" t="s">
        <v>134</v>
      </c>
      <c r="B88" s="18">
        <v>45915</v>
      </c>
      <c r="C88" s="18" t="s">
        <v>39</v>
      </c>
      <c r="D88" s="7">
        <v>4</v>
      </c>
      <c r="E88" s="8">
        <v>11875</v>
      </c>
      <c r="F88" s="9">
        <v>0.1</v>
      </c>
      <c r="G88" s="8">
        <f t="shared" si="3"/>
        <v>42750</v>
      </c>
      <c r="H88" s="8">
        <f t="shared" si="4"/>
        <v>30875</v>
      </c>
      <c r="I88" s="8">
        <f t="shared" si="5"/>
        <v>11875</v>
      </c>
      <c r="J88" s="7" t="s">
        <v>19</v>
      </c>
      <c r="K88" s="7" t="s">
        <v>20</v>
      </c>
      <c r="L88" s="10" t="s">
        <v>21</v>
      </c>
    </row>
    <row r="89" spans="1:12" x14ac:dyDescent="0.3">
      <c r="A89" s="6" t="s">
        <v>135</v>
      </c>
      <c r="B89" s="18">
        <v>45879</v>
      </c>
      <c r="C89" s="18" t="s">
        <v>56</v>
      </c>
      <c r="D89" s="7">
        <v>5</v>
      </c>
      <c r="E89" s="8">
        <v>9800</v>
      </c>
      <c r="F89" s="9">
        <v>0</v>
      </c>
      <c r="G89" s="8">
        <f t="shared" si="3"/>
        <v>49000</v>
      </c>
      <c r="H89" s="8">
        <f t="shared" si="4"/>
        <v>31850</v>
      </c>
      <c r="I89" s="8">
        <f t="shared" si="5"/>
        <v>17150</v>
      </c>
      <c r="J89" s="7" t="s">
        <v>14</v>
      </c>
      <c r="K89" s="7" t="s">
        <v>36</v>
      </c>
      <c r="L89" s="10" t="s">
        <v>21</v>
      </c>
    </row>
    <row r="90" spans="1:12" x14ac:dyDescent="0.3">
      <c r="A90" s="6" t="s">
        <v>136</v>
      </c>
      <c r="B90" s="18">
        <v>46027</v>
      </c>
      <c r="C90" s="18" t="s">
        <v>88</v>
      </c>
      <c r="D90" s="7">
        <v>1</v>
      </c>
      <c r="E90" s="8">
        <v>1500</v>
      </c>
      <c r="F90" s="9">
        <v>0.2</v>
      </c>
      <c r="G90" s="8">
        <f t="shared" si="3"/>
        <v>1200</v>
      </c>
      <c r="H90" s="8">
        <f t="shared" si="4"/>
        <v>975</v>
      </c>
      <c r="I90" s="8">
        <f t="shared" si="5"/>
        <v>225</v>
      </c>
      <c r="J90" s="7" t="s">
        <v>14</v>
      </c>
      <c r="K90" s="7" t="s">
        <v>36</v>
      </c>
      <c r="L90" s="10" t="s">
        <v>21</v>
      </c>
    </row>
    <row r="91" spans="1:12" x14ac:dyDescent="0.3">
      <c r="A91" s="6" t="s">
        <v>137</v>
      </c>
      <c r="B91" s="18">
        <v>45713</v>
      </c>
      <c r="C91" s="18" t="s">
        <v>51</v>
      </c>
      <c r="D91" s="7">
        <v>3</v>
      </c>
      <c r="E91" s="8">
        <v>2600</v>
      </c>
      <c r="F91" s="9">
        <v>0.15</v>
      </c>
      <c r="G91" s="8">
        <f t="shared" si="3"/>
        <v>6630</v>
      </c>
      <c r="H91" s="8">
        <f t="shared" si="4"/>
        <v>5070</v>
      </c>
      <c r="I91" s="8">
        <f t="shared" si="5"/>
        <v>1560</v>
      </c>
      <c r="J91" s="7" t="s">
        <v>19</v>
      </c>
      <c r="K91" s="7" t="s">
        <v>70</v>
      </c>
      <c r="L91" s="10" t="s">
        <v>16</v>
      </c>
    </row>
    <row r="92" spans="1:12" x14ac:dyDescent="0.3">
      <c r="A92" s="6" t="s">
        <v>138</v>
      </c>
      <c r="B92" s="18">
        <v>45949</v>
      </c>
      <c r="C92" s="18" t="s">
        <v>56</v>
      </c>
      <c r="D92" s="7">
        <v>8</v>
      </c>
      <c r="E92" s="8">
        <v>10290</v>
      </c>
      <c r="F92" s="9">
        <v>0.1</v>
      </c>
      <c r="G92" s="8">
        <f t="shared" si="3"/>
        <v>74088</v>
      </c>
      <c r="H92" s="8">
        <f t="shared" si="4"/>
        <v>53508</v>
      </c>
      <c r="I92" s="8">
        <f t="shared" si="5"/>
        <v>20580</v>
      </c>
      <c r="J92" s="7" t="s">
        <v>14</v>
      </c>
      <c r="K92" s="7" t="s">
        <v>15</v>
      </c>
      <c r="L92" s="10" t="s">
        <v>25</v>
      </c>
    </row>
    <row r="93" spans="1:12" x14ac:dyDescent="0.3">
      <c r="A93" s="6" t="s">
        <v>139</v>
      </c>
      <c r="B93" s="18">
        <v>46147</v>
      </c>
      <c r="C93" s="18" t="s">
        <v>30</v>
      </c>
      <c r="D93" s="7">
        <v>7</v>
      </c>
      <c r="E93" s="8">
        <v>617.5</v>
      </c>
      <c r="F93" s="9">
        <v>0.15</v>
      </c>
      <c r="G93" s="8">
        <f t="shared" si="3"/>
        <v>3674.125</v>
      </c>
      <c r="H93" s="8">
        <f t="shared" si="4"/>
        <v>2809.625</v>
      </c>
      <c r="I93" s="8">
        <f t="shared" si="5"/>
        <v>864.5</v>
      </c>
      <c r="J93" s="7" t="s">
        <v>19</v>
      </c>
      <c r="K93" s="7" t="s">
        <v>70</v>
      </c>
      <c r="L93" s="10" t="s">
        <v>21</v>
      </c>
    </row>
    <row r="94" spans="1:12" x14ac:dyDescent="0.3">
      <c r="A94" s="6" t="s">
        <v>140</v>
      </c>
      <c r="B94" s="18">
        <v>45810</v>
      </c>
      <c r="C94" s="18" t="s">
        <v>18</v>
      </c>
      <c r="D94" s="7">
        <v>2</v>
      </c>
      <c r="E94" s="8">
        <v>1800</v>
      </c>
      <c r="F94" s="9">
        <v>0.05</v>
      </c>
      <c r="G94" s="8">
        <f t="shared" si="3"/>
        <v>3420</v>
      </c>
      <c r="H94" s="8">
        <f t="shared" si="4"/>
        <v>2340</v>
      </c>
      <c r="I94" s="8">
        <f t="shared" si="5"/>
        <v>1080</v>
      </c>
      <c r="J94" s="7" t="s">
        <v>19</v>
      </c>
      <c r="K94" s="7" t="s">
        <v>79</v>
      </c>
      <c r="L94" s="10" t="s">
        <v>16</v>
      </c>
    </row>
    <row r="95" spans="1:12" x14ac:dyDescent="0.3">
      <c r="A95" s="6" t="s">
        <v>141</v>
      </c>
      <c r="B95" s="18">
        <v>45889</v>
      </c>
      <c r="C95" s="18" t="s">
        <v>51</v>
      </c>
      <c r="D95" s="7">
        <v>8</v>
      </c>
      <c r="E95" s="8">
        <v>2730</v>
      </c>
      <c r="F95" s="9">
        <v>0.15</v>
      </c>
      <c r="G95" s="8">
        <f t="shared" si="3"/>
        <v>18564</v>
      </c>
      <c r="H95" s="8">
        <f t="shared" si="4"/>
        <v>14196</v>
      </c>
      <c r="I95" s="8">
        <f t="shared" si="5"/>
        <v>4368</v>
      </c>
      <c r="J95" s="7" t="s">
        <v>27</v>
      </c>
      <c r="K95" s="7" t="s">
        <v>52</v>
      </c>
      <c r="L95" s="10" t="s">
        <v>25</v>
      </c>
    </row>
    <row r="96" spans="1:12" x14ac:dyDescent="0.3">
      <c r="A96" s="6" t="s">
        <v>142</v>
      </c>
      <c r="B96" s="18">
        <v>45719</v>
      </c>
      <c r="C96" s="18" t="s">
        <v>18</v>
      </c>
      <c r="D96" s="7">
        <v>4</v>
      </c>
      <c r="E96" s="8">
        <v>1710</v>
      </c>
      <c r="F96" s="9">
        <v>0.05</v>
      </c>
      <c r="G96" s="8">
        <f t="shared" si="3"/>
        <v>6498</v>
      </c>
      <c r="H96" s="8">
        <f t="shared" si="4"/>
        <v>4446</v>
      </c>
      <c r="I96" s="8">
        <f t="shared" si="5"/>
        <v>2052</v>
      </c>
      <c r="J96" s="7" t="s">
        <v>27</v>
      </c>
      <c r="K96" s="7" t="s">
        <v>49</v>
      </c>
      <c r="L96" s="10" t="s">
        <v>21</v>
      </c>
    </row>
    <row r="97" spans="1:12" x14ac:dyDescent="0.3">
      <c r="A97" s="6" t="s">
        <v>143</v>
      </c>
      <c r="B97" s="18">
        <v>45903</v>
      </c>
      <c r="C97" s="18" t="s">
        <v>88</v>
      </c>
      <c r="D97" s="7">
        <v>3</v>
      </c>
      <c r="E97" s="8">
        <v>1425</v>
      </c>
      <c r="F97" s="9">
        <v>0</v>
      </c>
      <c r="G97" s="8">
        <f t="shared" si="3"/>
        <v>4275</v>
      </c>
      <c r="H97" s="8">
        <f t="shared" si="4"/>
        <v>2778.75</v>
      </c>
      <c r="I97" s="8">
        <f t="shared" si="5"/>
        <v>1496.25</v>
      </c>
      <c r="J97" s="7" t="s">
        <v>23</v>
      </c>
      <c r="K97" s="7" t="s">
        <v>72</v>
      </c>
      <c r="L97" s="10" t="s">
        <v>16</v>
      </c>
    </row>
    <row r="98" spans="1:12" x14ac:dyDescent="0.3">
      <c r="A98" s="6" t="s">
        <v>144</v>
      </c>
      <c r="B98" s="18">
        <v>46139</v>
      </c>
      <c r="C98" s="18" t="s">
        <v>60</v>
      </c>
      <c r="D98" s="7">
        <v>4</v>
      </c>
      <c r="E98" s="8">
        <v>2090</v>
      </c>
      <c r="F98" s="9">
        <v>0.1</v>
      </c>
      <c r="G98" s="8">
        <f t="shared" si="3"/>
        <v>7524</v>
      </c>
      <c r="H98" s="8">
        <f t="shared" si="4"/>
        <v>5434</v>
      </c>
      <c r="I98" s="8">
        <f t="shared" si="5"/>
        <v>2090</v>
      </c>
      <c r="J98" s="7" t="s">
        <v>27</v>
      </c>
      <c r="K98" s="7" t="s">
        <v>52</v>
      </c>
      <c r="L98" s="10" t="s">
        <v>21</v>
      </c>
    </row>
    <row r="99" spans="1:12" x14ac:dyDescent="0.3">
      <c r="A99" s="6" t="s">
        <v>145</v>
      </c>
      <c r="B99" s="18">
        <v>45897</v>
      </c>
      <c r="C99" s="18" t="s">
        <v>60</v>
      </c>
      <c r="D99" s="7">
        <v>7</v>
      </c>
      <c r="E99" s="8">
        <v>2200</v>
      </c>
      <c r="F99" s="9">
        <v>0</v>
      </c>
      <c r="G99" s="8">
        <f t="shared" si="3"/>
        <v>15400</v>
      </c>
      <c r="H99" s="8">
        <f t="shared" si="4"/>
        <v>10010</v>
      </c>
      <c r="I99" s="8">
        <f t="shared" si="5"/>
        <v>5390</v>
      </c>
      <c r="J99" s="7" t="s">
        <v>14</v>
      </c>
      <c r="K99" s="7" t="s">
        <v>40</v>
      </c>
      <c r="L99" s="10" t="s">
        <v>25</v>
      </c>
    </row>
    <row r="100" spans="1:12" x14ac:dyDescent="0.3">
      <c r="A100" s="6" t="s">
        <v>146</v>
      </c>
      <c r="B100" s="18">
        <v>45803</v>
      </c>
      <c r="C100" s="18" t="s">
        <v>30</v>
      </c>
      <c r="D100" s="7">
        <v>3</v>
      </c>
      <c r="E100" s="8">
        <v>617.5</v>
      </c>
      <c r="F100" s="9">
        <v>0.1</v>
      </c>
      <c r="G100" s="8">
        <f t="shared" si="3"/>
        <v>1667.25</v>
      </c>
      <c r="H100" s="8">
        <f t="shared" si="4"/>
        <v>1204.125</v>
      </c>
      <c r="I100" s="8">
        <f t="shared" si="5"/>
        <v>463.125</v>
      </c>
      <c r="J100" s="7" t="s">
        <v>27</v>
      </c>
      <c r="K100" s="7" t="s">
        <v>52</v>
      </c>
      <c r="L100" s="10" t="s">
        <v>21</v>
      </c>
    </row>
    <row r="101" spans="1:12" x14ac:dyDescent="0.3">
      <c r="A101" s="6" t="s">
        <v>147</v>
      </c>
      <c r="B101" s="18">
        <v>46137</v>
      </c>
      <c r="C101" s="18" t="s">
        <v>60</v>
      </c>
      <c r="D101" s="7">
        <v>5</v>
      </c>
      <c r="E101" s="8">
        <v>2310</v>
      </c>
      <c r="F101" s="9">
        <v>0.2</v>
      </c>
      <c r="G101" s="8">
        <f t="shared" si="3"/>
        <v>9240</v>
      </c>
      <c r="H101" s="8">
        <f t="shared" si="4"/>
        <v>7507.5</v>
      </c>
      <c r="I101" s="8">
        <f t="shared" si="5"/>
        <v>1732.5</v>
      </c>
      <c r="J101" s="7" t="s">
        <v>23</v>
      </c>
      <c r="K101" s="7" t="s">
        <v>72</v>
      </c>
      <c r="L101" s="10" t="s">
        <v>21</v>
      </c>
    </row>
    <row r="102" spans="1:12" x14ac:dyDescent="0.3">
      <c r="A102" s="6" t="s">
        <v>148</v>
      </c>
      <c r="B102" s="18">
        <v>45698</v>
      </c>
      <c r="C102" s="18" t="s">
        <v>43</v>
      </c>
      <c r="D102" s="7">
        <v>5</v>
      </c>
      <c r="E102" s="8">
        <v>3200</v>
      </c>
      <c r="F102" s="9">
        <v>0</v>
      </c>
      <c r="G102" s="8">
        <f t="shared" si="3"/>
        <v>16000</v>
      </c>
      <c r="H102" s="8">
        <f t="shared" si="4"/>
        <v>10400</v>
      </c>
      <c r="I102" s="8">
        <f t="shared" si="5"/>
        <v>5600</v>
      </c>
      <c r="J102" s="7" t="s">
        <v>19</v>
      </c>
      <c r="K102" s="7" t="s">
        <v>20</v>
      </c>
      <c r="L102" s="10" t="s">
        <v>16</v>
      </c>
    </row>
    <row r="103" spans="1:12" x14ac:dyDescent="0.3">
      <c r="A103" s="6" t="s">
        <v>149</v>
      </c>
      <c r="B103" s="18">
        <v>45679</v>
      </c>
      <c r="C103" s="18" t="s">
        <v>60</v>
      </c>
      <c r="D103" s="7">
        <v>3</v>
      </c>
      <c r="E103" s="8">
        <v>2090</v>
      </c>
      <c r="F103" s="9">
        <v>0.15</v>
      </c>
      <c r="G103" s="8">
        <f t="shared" si="3"/>
        <v>5329.5</v>
      </c>
      <c r="H103" s="8">
        <f t="shared" si="4"/>
        <v>4075.5</v>
      </c>
      <c r="I103" s="8">
        <f t="shared" si="5"/>
        <v>1254</v>
      </c>
      <c r="J103" s="7" t="s">
        <v>23</v>
      </c>
      <c r="K103" s="7" t="s">
        <v>66</v>
      </c>
      <c r="L103" s="10" t="s">
        <v>21</v>
      </c>
    </row>
    <row r="104" spans="1:12" x14ac:dyDescent="0.3">
      <c r="A104" s="6" t="s">
        <v>150</v>
      </c>
      <c r="B104" s="18">
        <v>46104</v>
      </c>
      <c r="C104" s="18" t="s">
        <v>56</v>
      </c>
      <c r="D104" s="7">
        <v>8</v>
      </c>
      <c r="E104" s="8">
        <v>9310</v>
      </c>
      <c r="F104" s="9">
        <v>0.1</v>
      </c>
      <c r="G104" s="8">
        <f t="shared" si="3"/>
        <v>67032</v>
      </c>
      <c r="H104" s="8">
        <f t="shared" si="4"/>
        <v>48412</v>
      </c>
      <c r="I104" s="8">
        <f t="shared" si="5"/>
        <v>18620</v>
      </c>
      <c r="J104" s="7" t="s">
        <v>23</v>
      </c>
      <c r="K104" s="7" t="s">
        <v>66</v>
      </c>
      <c r="L104" s="10" t="s">
        <v>25</v>
      </c>
    </row>
    <row r="105" spans="1:12" x14ac:dyDescent="0.3">
      <c r="A105" s="6" t="s">
        <v>151</v>
      </c>
      <c r="B105" s="18">
        <v>45765</v>
      </c>
      <c r="C105" s="18" t="s">
        <v>88</v>
      </c>
      <c r="D105" s="7">
        <v>7</v>
      </c>
      <c r="E105" s="8">
        <v>1500</v>
      </c>
      <c r="F105" s="9">
        <v>0.15</v>
      </c>
      <c r="G105" s="8">
        <f t="shared" si="3"/>
        <v>8925</v>
      </c>
      <c r="H105" s="8">
        <f t="shared" si="4"/>
        <v>6825</v>
      </c>
      <c r="I105" s="8">
        <f t="shared" si="5"/>
        <v>2100</v>
      </c>
      <c r="J105" s="7" t="s">
        <v>27</v>
      </c>
      <c r="K105" s="7" t="s">
        <v>52</v>
      </c>
      <c r="L105" s="10" t="s">
        <v>16</v>
      </c>
    </row>
    <row r="106" spans="1:12" x14ac:dyDescent="0.3">
      <c r="A106" s="6" t="s">
        <v>152</v>
      </c>
      <c r="B106" s="18">
        <v>45695</v>
      </c>
      <c r="C106" s="18" t="s">
        <v>56</v>
      </c>
      <c r="D106" s="7">
        <v>6</v>
      </c>
      <c r="E106" s="8">
        <v>9310</v>
      </c>
      <c r="F106" s="9">
        <v>0.1</v>
      </c>
      <c r="G106" s="8">
        <f t="shared" si="3"/>
        <v>50274</v>
      </c>
      <c r="H106" s="8">
        <f t="shared" si="4"/>
        <v>36309</v>
      </c>
      <c r="I106" s="8">
        <f t="shared" si="5"/>
        <v>13965</v>
      </c>
      <c r="J106" s="7" t="s">
        <v>27</v>
      </c>
      <c r="K106" s="7" t="s">
        <v>49</v>
      </c>
      <c r="L106" s="10" t="s">
        <v>25</v>
      </c>
    </row>
    <row r="107" spans="1:12" x14ac:dyDescent="0.3">
      <c r="A107" s="6" t="s">
        <v>153</v>
      </c>
      <c r="B107" s="18">
        <v>46184</v>
      </c>
      <c r="C107" s="18" t="s">
        <v>13</v>
      </c>
      <c r="D107" s="7">
        <v>7</v>
      </c>
      <c r="E107" s="8">
        <v>54600</v>
      </c>
      <c r="F107" s="9">
        <v>0</v>
      </c>
      <c r="G107" s="8">
        <f t="shared" si="3"/>
        <v>382200</v>
      </c>
      <c r="H107" s="8">
        <f t="shared" si="4"/>
        <v>248430</v>
      </c>
      <c r="I107" s="8">
        <f t="shared" si="5"/>
        <v>133770</v>
      </c>
      <c r="J107" s="7" t="s">
        <v>14</v>
      </c>
      <c r="K107" s="7" t="s">
        <v>36</v>
      </c>
      <c r="L107" s="10" t="s">
        <v>16</v>
      </c>
    </row>
    <row r="108" spans="1:12" x14ac:dyDescent="0.3">
      <c r="A108" s="6" t="s">
        <v>154</v>
      </c>
      <c r="B108" s="18">
        <v>46168</v>
      </c>
      <c r="C108" s="18" t="s">
        <v>56</v>
      </c>
      <c r="D108" s="7">
        <v>4</v>
      </c>
      <c r="E108" s="8">
        <v>9310</v>
      </c>
      <c r="F108" s="9">
        <v>0.1</v>
      </c>
      <c r="G108" s="8">
        <f t="shared" si="3"/>
        <v>33516</v>
      </c>
      <c r="H108" s="8">
        <f t="shared" si="4"/>
        <v>24206</v>
      </c>
      <c r="I108" s="8">
        <f t="shared" si="5"/>
        <v>9310</v>
      </c>
      <c r="J108" s="7" t="s">
        <v>14</v>
      </c>
      <c r="K108" s="7" t="s">
        <v>36</v>
      </c>
      <c r="L108" s="10" t="s">
        <v>25</v>
      </c>
    </row>
    <row r="109" spans="1:12" x14ac:dyDescent="0.3">
      <c r="A109" s="6" t="s">
        <v>155</v>
      </c>
      <c r="B109" s="18">
        <v>46154</v>
      </c>
      <c r="C109" s="18" t="s">
        <v>30</v>
      </c>
      <c r="D109" s="7">
        <v>4</v>
      </c>
      <c r="E109" s="8">
        <v>617.5</v>
      </c>
      <c r="F109" s="9">
        <v>0.05</v>
      </c>
      <c r="G109" s="8">
        <f t="shared" si="3"/>
        <v>2346.5</v>
      </c>
      <c r="H109" s="8">
        <f t="shared" si="4"/>
        <v>1605.5</v>
      </c>
      <c r="I109" s="8">
        <f t="shared" si="5"/>
        <v>741</v>
      </c>
      <c r="J109" s="7" t="s">
        <v>27</v>
      </c>
      <c r="K109" s="7" t="s">
        <v>49</v>
      </c>
      <c r="L109" s="10" t="s">
        <v>16</v>
      </c>
    </row>
    <row r="110" spans="1:12" x14ac:dyDescent="0.3">
      <c r="A110" s="6" t="s">
        <v>156</v>
      </c>
      <c r="B110" s="18">
        <v>46075</v>
      </c>
      <c r="C110" s="18" t="s">
        <v>30</v>
      </c>
      <c r="D110" s="7">
        <v>2</v>
      </c>
      <c r="E110" s="8">
        <v>650</v>
      </c>
      <c r="F110" s="9">
        <v>0.15</v>
      </c>
      <c r="G110" s="8">
        <f t="shared" si="3"/>
        <v>1105</v>
      </c>
      <c r="H110" s="8">
        <f t="shared" si="4"/>
        <v>845</v>
      </c>
      <c r="I110" s="8">
        <f t="shared" si="5"/>
        <v>260</v>
      </c>
      <c r="J110" s="7" t="s">
        <v>19</v>
      </c>
      <c r="K110" s="7" t="s">
        <v>20</v>
      </c>
      <c r="L110" s="10" t="s">
        <v>25</v>
      </c>
    </row>
    <row r="111" spans="1:12" x14ac:dyDescent="0.3">
      <c r="A111" s="6" t="s">
        <v>157</v>
      </c>
      <c r="B111" s="18">
        <v>45956</v>
      </c>
      <c r="C111" s="18" t="s">
        <v>51</v>
      </c>
      <c r="D111" s="7">
        <v>7</v>
      </c>
      <c r="E111" s="8">
        <v>2600</v>
      </c>
      <c r="F111" s="9">
        <v>0.15</v>
      </c>
      <c r="G111" s="8">
        <f t="shared" si="3"/>
        <v>15470</v>
      </c>
      <c r="H111" s="8">
        <f t="shared" si="4"/>
        <v>11830</v>
      </c>
      <c r="I111" s="8">
        <f t="shared" si="5"/>
        <v>3640</v>
      </c>
      <c r="J111" s="7" t="s">
        <v>23</v>
      </c>
      <c r="K111" s="7" t="s">
        <v>24</v>
      </c>
      <c r="L111" s="10" t="s">
        <v>25</v>
      </c>
    </row>
    <row r="112" spans="1:12" x14ac:dyDescent="0.3">
      <c r="A112" s="6" t="s">
        <v>158</v>
      </c>
      <c r="B112" s="18">
        <v>45806</v>
      </c>
      <c r="C112" s="18" t="s">
        <v>43</v>
      </c>
      <c r="D112" s="7">
        <v>3</v>
      </c>
      <c r="E112" s="8">
        <v>3200</v>
      </c>
      <c r="F112" s="9">
        <v>0</v>
      </c>
      <c r="G112" s="8">
        <f t="shared" si="3"/>
        <v>9600</v>
      </c>
      <c r="H112" s="8">
        <f t="shared" si="4"/>
        <v>6240</v>
      </c>
      <c r="I112" s="8">
        <f t="shared" si="5"/>
        <v>3360</v>
      </c>
      <c r="J112" s="7" t="s">
        <v>27</v>
      </c>
      <c r="K112" s="7" t="s">
        <v>52</v>
      </c>
      <c r="L112" s="10" t="s">
        <v>25</v>
      </c>
    </row>
    <row r="113" spans="1:12" x14ac:dyDescent="0.3">
      <c r="A113" s="6" t="s">
        <v>159</v>
      </c>
      <c r="B113" s="18">
        <v>46177</v>
      </c>
      <c r="C113" s="18" t="s">
        <v>60</v>
      </c>
      <c r="D113" s="7">
        <v>5</v>
      </c>
      <c r="E113" s="8">
        <v>2090</v>
      </c>
      <c r="F113" s="9">
        <v>0.1</v>
      </c>
      <c r="G113" s="8">
        <f t="shared" si="3"/>
        <v>9405</v>
      </c>
      <c r="H113" s="8">
        <f t="shared" si="4"/>
        <v>6792.5</v>
      </c>
      <c r="I113" s="8">
        <f t="shared" si="5"/>
        <v>2612.5</v>
      </c>
      <c r="J113" s="7" t="s">
        <v>23</v>
      </c>
      <c r="K113" s="7" t="s">
        <v>24</v>
      </c>
      <c r="L113" s="10" t="s">
        <v>25</v>
      </c>
    </row>
    <row r="114" spans="1:12" x14ac:dyDescent="0.3">
      <c r="A114" s="6" t="s">
        <v>160</v>
      </c>
      <c r="B114" s="18">
        <v>46153</v>
      </c>
      <c r="C114" s="18" t="s">
        <v>661</v>
      </c>
      <c r="D114" s="7">
        <v>7</v>
      </c>
      <c r="E114" s="8">
        <v>700</v>
      </c>
      <c r="F114" s="9">
        <v>0.15</v>
      </c>
      <c r="G114" s="8">
        <f t="shared" si="3"/>
        <v>4165</v>
      </c>
      <c r="H114" s="8">
        <f t="shared" si="4"/>
        <v>3185</v>
      </c>
      <c r="I114" s="8">
        <f t="shared" si="5"/>
        <v>980</v>
      </c>
      <c r="J114" s="7" t="s">
        <v>27</v>
      </c>
      <c r="K114" s="7" t="s">
        <v>28</v>
      </c>
      <c r="L114" s="10" t="s">
        <v>16</v>
      </c>
    </row>
    <row r="115" spans="1:12" x14ac:dyDescent="0.3">
      <c r="A115" s="6" t="s">
        <v>161</v>
      </c>
      <c r="B115" s="18">
        <v>45902</v>
      </c>
      <c r="C115" s="18" t="s">
        <v>18</v>
      </c>
      <c r="D115" s="7">
        <v>4</v>
      </c>
      <c r="E115" s="8">
        <v>1890</v>
      </c>
      <c r="F115" s="9">
        <v>0.15</v>
      </c>
      <c r="G115" s="8">
        <f t="shared" si="3"/>
        <v>6426</v>
      </c>
      <c r="H115" s="8">
        <f t="shared" si="4"/>
        <v>4914</v>
      </c>
      <c r="I115" s="8">
        <f t="shared" si="5"/>
        <v>1512</v>
      </c>
      <c r="J115" s="7" t="s">
        <v>19</v>
      </c>
      <c r="K115" s="7" t="s">
        <v>34</v>
      </c>
      <c r="L115" s="10" t="s">
        <v>16</v>
      </c>
    </row>
    <row r="116" spans="1:12" x14ac:dyDescent="0.3">
      <c r="A116" s="6" t="s">
        <v>162</v>
      </c>
      <c r="B116" s="18">
        <v>46142</v>
      </c>
      <c r="C116" s="18" t="s">
        <v>43</v>
      </c>
      <c r="D116" s="7">
        <v>3</v>
      </c>
      <c r="E116" s="8">
        <v>3360</v>
      </c>
      <c r="F116" s="9">
        <v>0.15</v>
      </c>
      <c r="G116" s="8">
        <f t="shared" si="3"/>
        <v>8568</v>
      </c>
      <c r="H116" s="8">
        <f t="shared" si="4"/>
        <v>6552</v>
      </c>
      <c r="I116" s="8">
        <f t="shared" si="5"/>
        <v>2016</v>
      </c>
      <c r="J116" s="7" t="s">
        <v>19</v>
      </c>
      <c r="K116" s="7" t="s">
        <v>20</v>
      </c>
      <c r="L116" s="10" t="s">
        <v>16</v>
      </c>
    </row>
    <row r="117" spans="1:12" x14ac:dyDescent="0.3">
      <c r="A117" s="6" t="s">
        <v>163</v>
      </c>
      <c r="B117" s="18">
        <v>45997</v>
      </c>
      <c r="C117" s="18" t="s">
        <v>30</v>
      </c>
      <c r="D117" s="7">
        <v>2</v>
      </c>
      <c r="E117" s="8">
        <v>682.5</v>
      </c>
      <c r="F117" s="9">
        <v>0.2</v>
      </c>
      <c r="G117" s="8">
        <f t="shared" si="3"/>
        <v>1092</v>
      </c>
      <c r="H117" s="8">
        <f t="shared" si="4"/>
        <v>887.25</v>
      </c>
      <c r="I117" s="8">
        <f t="shared" si="5"/>
        <v>204.75</v>
      </c>
      <c r="J117" s="7" t="s">
        <v>23</v>
      </c>
      <c r="K117" s="7" t="s">
        <v>61</v>
      </c>
      <c r="L117" s="10" t="s">
        <v>16</v>
      </c>
    </row>
    <row r="118" spans="1:12" x14ac:dyDescent="0.3">
      <c r="A118" s="6" t="s">
        <v>164</v>
      </c>
      <c r="B118" s="18">
        <v>45805</v>
      </c>
      <c r="C118" s="18" t="s">
        <v>43</v>
      </c>
      <c r="D118" s="7">
        <v>2</v>
      </c>
      <c r="E118" s="8">
        <v>3200</v>
      </c>
      <c r="F118" s="9">
        <v>0.15</v>
      </c>
      <c r="G118" s="8">
        <f t="shared" si="3"/>
        <v>5440</v>
      </c>
      <c r="H118" s="8">
        <f t="shared" si="4"/>
        <v>4160</v>
      </c>
      <c r="I118" s="8">
        <f t="shared" si="5"/>
        <v>1280</v>
      </c>
      <c r="J118" s="7" t="s">
        <v>27</v>
      </c>
      <c r="K118" s="7" t="s">
        <v>31</v>
      </c>
      <c r="L118" s="10" t="s">
        <v>16</v>
      </c>
    </row>
    <row r="119" spans="1:12" x14ac:dyDescent="0.3">
      <c r="A119" s="6" t="s">
        <v>165</v>
      </c>
      <c r="B119" s="18">
        <v>46065</v>
      </c>
      <c r="C119" s="18" t="s">
        <v>30</v>
      </c>
      <c r="D119" s="7">
        <v>7</v>
      </c>
      <c r="E119" s="8">
        <v>650</v>
      </c>
      <c r="F119" s="9">
        <v>0.1</v>
      </c>
      <c r="G119" s="8">
        <f t="shared" si="3"/>
        <v>4095</v>
      </c>
      <c r="H119" s="8">
        <f t="shared" si="4"/>
        <v>2957.5</v>
      </c>
      <c r="I119" s="8">
        <f t="shared" si="5"/>
        <v>1137.5</v>
      </c>
      <c r="J119" s="7" t="s">
        <v>23</v>
      </c>
      <c r="K119" s="7" t="s">
        <v>61</v>
      </c>
      <c r="L119" s="10" t="s">
        <v>16</v>
      </c>
    </row>
    <row r="120" spans="1:12" x14ac:dyDescent="0.3">
      <c r="A120" s="6" t="s">
        <v>166</v>
      </c>
      <c r="B120" s="18">
        <v>45728</v>
      </c>
      <c r="C120" s="18" t="s">
        <v>39</v>
      </c>
      <c r="D120" s="7">
        <v>4</v>
      </c>
      <c r="E120" s="8">
        <v>12500</v>
      </c>
      <c r="F120" s="9">
        <v>0</v>
      </c>
      <c r="G120" s="8">
        <f t="shared" si="3"/>
        <v>50000</v>
      </c>
      <c r="H120" s="8">
        <f t="shared" si="4"/>
        <v>32500</v>
      </c>
      <c r="I120" s="8">
        <f t="shared" si="5"/>
        <v>17500</v>
      </c>
      <c r="J120" s="7" t="s">
        <v>23</v>
      </c>
      <c r="K120" s="7" t="s">
        <v>61</v>
      </c>
      <c r="L120" s="10" t="s">
        <v>16</v>
      </c>
    </row>
    <row r="121" spans="1:12" x14ac:dyDescent="0.3">
      <c r="A121" s="6" t="s">
        <v>167</v>
      </c>
      <c r="B121" s="18">
        <v>45760</v>
      </c>
      <c r="C121" s="18" t="s">
        <v>56</v>
      </c>
      <c r="D121" s="7">
        <v>5</v>
      </c>
      <c r="E121" s="8">
        <v>9800</v>
      </c>
      <c r="F121" s="9">
        <v>0</v>
      </c>
      <c r="G121" s="8">
        <f t="shared" si="3"/>
        <v>49000</v>
      </c>
      <c r="H121" s="8">
        <f t="shared" si="4"/>
        <v>31850</v>
      </c>
      <c r="I121" s="8">
        <f t="shared" si="5"/>
        <v>17150</v>
      </c>
      <c r="J121" s="7" t="s">
        <v>33</v>
      </c>
      <c r="K121" s="7" t="s">
        <v>34</v>
      </c>
      <c r="L121" s="10" t="s">
        <v>21</v>
      </c>
    </row>
    <row r="122" spans="1:12" x14ac:dyDescent="0.3">
      <c r="A122" s="6" t="s">
        <v>168</v>
      </c>
      <c r="B122" s="18">
        <v>45958</v>
      </c>
      <c r="C122" s="18" t="s">
        <v>661</v>
      </c>
      <c r="D122" s="7">
        <v>7</v>
      </c>
      <c r="E122" s="8">
        <v>700</v>
      </c>
      <c r="F122" s="9">
        <v>0.05</v>
      </c>
      <c r="G122" s="8">
        <f t="shared" si="3"/>
        <v>4655</v>
      </c>
      <c r="H122" s="8">
        <f t="shared" si="4"/>
        <v>3185</v>
      </c>
      <c r="I122" s="8">
        <f t="shared" si="5"/>
        <v>1470</v>
      </c>
      <c r="J122" s="7" t="s">
        <v>14</v>
      </c>
      <c r="K122" s="7" t="s">
        <v>47</v>
      </c>
      <c r="L122" s="10" t="s">
        <v>16</v>
      </c>
    </row>
    <row r="123" spans="1:12" x14ac:dyDescent="0.3">
      <c r="A123" s="6" t="s">
        <v>169</v>
      </c>
      <c r="B123" s="18">
        <v>45842</v>
      </c>
      <c r="C123" s="18" t="s">
        <v>88</v>
      </c>
      <c r="D123" s="7">
        <v>2</v>
      </c>
      <c r="E123" s="8">
        <v>1500</v>
      </c>
      <c r="F123" s="9">
        <v>0.2</v>
      </c>
      <c r="G123" s="8">
        <f t="shared" si="3"/>
        <v>2400</v>
      </c>
      <c r="H123" s="8">
        <f t="shared" si="4"/>
        <v>1950</v>
      </c>
      <c r="I123" s="8">
        <f t="shared" si="5"/>
        <v>450</v>
      </c>
      <c r="J123" s="7" t="s">
        <v>23</v>
      </c>
      <c r="K123" s="7" t="s">
        <v>24</v>
      </c>
      <c r="L123" s="10" t="s">
        <v>25</v>
      </c>
    </row>
    <row r="124" spans="1:12" x14ac:dyDescent="0.3">
      <c r="A124" s="6" t="s">
        <v>170</v>
      </c>
      <c r="B124" s="18">
        <v>45804</v>
      </c>
      <c r="C124" s="18" t="s">
        <v>39</v>
      </c>
      <c r="D124" s="7">
        <v>5</v>
      </c>
      <c r="E124" s="8">
        <v>13125</v>
      </c>
      <c r="F124" s="9">
        <v>0.15</v>
      </c>
      <c r="G124" s="8">
        <f t="shared" si="3"/>
        <v>55781.25</v>
      </c>
      <c r="H124" s="8">
        <f t="shared" si="4"/>
        <v>42656.25</v>
      </c>
      <c r="I124" s="8">
        <f t="shared" si="5"/>
        <v>13125</v>
      </c>
      <c r="J124" s="7" t="s">
        <v>27</v>
      </c>
      <c r="K124" s="7" t="s">
        <v>49</v>
      </c>
      <c r="L124" s="10" t="s">
        <v>25</v>
      </c>
    </row>
    <row r="125" spans="1:12" x14ac:dyDescent="0.3">
      <c r="A125" s="6" t="s">
        <v>171</v>
      </c>
      <c r="B125" s="18">
        <v>45952</v>
      </c>
      <c r="C125" s="18" t="s">
        <v>51</v>
      </c>
      <c r="D125" s="7">
        <v>2</v>
      </c>
      <c r="E125" s="8">
        <v>2600</v>
      </c>
      <c r="F125" s="9">
        <v>0.15</v>
      </c>
      <c r="G125" s="8">
        <f t="shared" si="3"/>
        <v>4420</v>
      </c>
      <c r="H125" s="8">
        <f t="shared" si="4"/>
        <v>3380</v>
      </c>
      <c r="I125" s="8">
        <f t="shared" si="5"/>
        <v>1040</v>
      </c>
      <c r="J125" s="7" t="s">
        <v>27</v>
      </c>
      <c r="K125" s="7" t="s">
        <v>31</v>
      </c>
      <c r="L125" s="10" t="s">
        <v>16</v>
      </c>
    </row>
    <row r="126" spans="1:12" x14ac:dyDescent="0.3">
      <c r="A126" s="6" t="s">
        <v>172</v>
      </c>
      <c r="B126" s="18">
        <v>46092</v>
      </c>
      <c r="C126" s="18" t="s">
        <v>60</v>
      </c>
      <c r="D126" s="7">
        <v>5</v>
      </c>
      <c r="E126" s="8">
        <v>2310</v>
      </c>
      <c r="F126" s="9">
        <v>0.05</v>
      </c>
      <c r="G126" s="8">
        <f t="shared" si="3"/>
        <v>10972.5</v>
      </c>
      <c r="H126" s="8">
        <f t="shared" si="4"/>
        <v>7507.5</v>
      </c>
      <c r="I126" s="8">
        <f t="shared" si="5"/>
        <v>3465</v>
      </c>
      <c r="J126" s="7" t="s">
        <v>23</v>
      </c>
      <c r="K126" s="7" t="s">
        <v>72</v>
      </c>
      <c r="L126" s="10" t="s">
        <v>21</v>
      </c>
    </row>
    <row r="127" spans="1:12" x14ac:dyDescent="0.3">
      <c r="A127" s="6" t="s">
        <v>173</v>
      </c>
      <c r="B127" s="18">
        <v>45900</v>
      </c>
      <c r="C127" s="18" t="s">
        <v>43</v>
      </c>
      <c r="D127" s="7">
        <v>5</v>
      </c>
      <c r="E127" s="8">
        <v>3200</v>
      </c>
      <c r="F127" s="9">
        <v>0.1</v>
      </c>
      <c r="G127" s="8">
        <f t="shared" si="3"/>
        <v>14400</v>
      </c>
      <c r="H127" s="8">
        <f t="shared" si="4"/>
        <v>10400</v>
      </c>
      <c r="I127" s="8">
        <f t="shared" si="5"/>
        <v>4000</v>
      </c>
      <c r="J127" s="7" t="s">
        <v>19</v>
      </c>
      <c r="K127" s="7" t="s">
        <v>79</v>
      </c>
      <c r="L127" s="10" t="s">
        <v>25</v>
      </c>
    </row>
    <row r="128" spans="1:12" x14ac:dyDescent="0.3">
      <c r="A128" s="6" t="s">
        <v>174</v>
      </c>
      <c r="B128" s="18">
        <v>45666</v>
      </c>
      <c r="C128" s="18" t="s">
        <v>18</v>
      </c>
      <c r="D128" s="7">
        <v>8</v>
      </c>
      <c r="E128" s="8">
        <v>1710</v>
      </c>
      <c r="F128" s="9">
        <v>0.1</v>
      </c>
      <c r="G128" s="8">
        <f t="shared" si="3"/>
        <v>12312</v>
      </c>
      <c r="H128" s="8">
        <f t="shared" si="4"/>
        <v>8892</v>
      </c>
      <c r="I128" s="8">
        <f t="shared" si="5"/>
        <v>3420</v>
      </c>
      <c r="J128" s="7" t="s">
        <v>14</v>
      </c>
      <c r="K128" s="7" t="s">
        <v>36</v>
      </c>
      <c r="L128" s="10" t="s">
        <v>21</v>
      </c>
    </row>
    <row r="129" spans="1:12" x14ac:dyDescent="0.3">
      <c r="A129" s="6" t="s">
        <v>175</v>
      </c>
      <c r="B129" s="18">
        <v>45852</v>
      </c>
      <c r="C129" s="18" t="s">
        <v>18</v>
      </c>
      <c r="D129" s="7">
        <v>3</v>
      </c>
      <c r="E129" s="8">
        <v>1800</v>
      </c>
      <c r="F129" s="9">
        <v>0</v>
      </c>
      <c r="G129" s="8">
        <f t="shared" si="3"/>
        <v>5400</v>
      </c>
      <c r="H129" s="8">
        <f t="shared" si="4"/>
        <v>3510</v>
      </c>
      <c r="I129" s="8">
        <f t="shared" si="5"/>
        <v>1890</v>
      </c>
      <c r="J129" s="7" t="s">
        <v>19</v>
      </c>
      <c r="K129" s="7" t="s">
        <v>34</v>
      </c>
      <c r="L129" s="10" t="s">
        <v>25</v>
      </c>
    </row>
    <row r="130" spans="1:12" x14ac:dyDescent="0.3">
      <c r="A130" s="6" t="s">
        <v>176</v>
      </c>
      <c r="B130" s="18">
        <v>45692</v>
      </c>
      <c r="C130" s="18" t="s">
        <v>18</v>
      </c>
      <c r="D130" s="7">
        <v>3</v>
      </c>
      <c r="E130" s="8">
        <v>1800</v>
      </c>
      <c r="F130" s="9">
        <v>0</v>
      </c>
      <c r="G130" s="8">
        <f t="shared" si="3"/>
        <v>5400</v>
      </c>
      <c r="H130" s="8">
        <f t="shared" si="4"/>
        <v>3510</v>
      </c>
      <c r="I130" s="8">
        <f t="shared" si="5"/>
        <v>1890</v>
      </c>
      <c r="J130" s="7" t="s">
        <v>27</v>
      </c>
      <c r="K130" s="7" t="s">
        <v>31</v>
      </c>
      <c r="L130" s="10" t="s">
        <v>16</v>
      </c>
    </row>
    <row r="131" spans="1:12" x14ac:dyDescent="0.3">
      <c r="A131" s="6" t="s">
        <v>177</v>
      </c>
      <c r="B131" s="18">
        <v>46083</v>
      </c>
      <c r="C131" s="18" t="s">
        <v>88</v>
      </c>
      <c r="D131" s="7">
        <v>3</v>
      </c>
      <c r="E131" s="8">
        <v>1500</v>
      </c>
      <c r="F131" s="9">
        <v>0.2</v>
      </c>
      <c r="G131" s="8">
        <f t="shared" ref="G131:G194" si="6">D131*E131*(1-F131)</f>
        <v>3600</v>
      </c>
      <c r="H131" s="8">
        <f t="shared" ref="H131:H194" si="7">D131*E131*65%</f>
        <v>2925</v>
      </c>
      <c r="I131" s="8">
        <f t="shared" ref="I131:I194" si="8">G131-H131</f>
        <v>675</v>
      </c>
      <c r="J131" s="7" t="s">
        <v>27</v>
      </c>
      <c r="K131" s="7" t="s">
        <v>31</v>
      </c>
      <c r="L131" s="10" t="s">
        <v>21</v>
      </c>
    </row>
    <row r="132" spans="1:12" x14ac:dyDescent="0.3">
      <c r="A132" s="6" t="s">
        <v>178</v>
      </c>
      <c r="B132" s="18">
        <v>45921</v>
      </c>
      <c r="C132" s="18" t="s">
        <v>56</v>
      </c>
      <c r="D132" s="7">
        <v>6</v>
      </c>
      <c r="E132" s="8">
        <v>9800</v>
      </c>
      <c r="F132" s="9">
        <v>0</v>
      </c>
      <c r="G132" s="8">
        <f t="shared" si="6"/>
        <v>58800</v>
      </c>
      <c r="H132" s="8">
        <f t="shared" si="7"/>
        <v>38220</v>
      </c>
      <c r="I132" s="8">
        <f t="shared" si="8"/>
        <v>20580</v>
      </c>
      <c r="J132" s="7" t="s">
        <v>23</v>
      </c>
      <c r="K132" s="7" t="s">
        <v>61</v>
      </c>
      <c r="L132" s="10" t="s">
        <v>21</v>
      </c>
    </row>
    <row r="133" spans="1:12" x14ac:dyDescent="0.3">
      <c r="A133" s="6" t="s">
        <v>179</v>
      </c>
      <c r="B133" s="18">
        <v>45889</v>
      </c>
      <c r="C133" s="18" t="s">
        <v>43</v>
      </c>
      <c r="D133" s="7">
        <v>2</v>
      </c>
      <c r="E133" s="8">
        <v>3200</v>
      </c>
      <c r="F133" s="9">
        <v>0.15</v>
      </c>
      <c r="G133" s="8">
        <f t="shared" si="6"/>
        <v>5440</v>
      </c>
      <c r="H133" s="8">
        <f t="shared" si="7"/>
        <v>4160</v>
      </c>
      <c r="I133" s="8">
        <f t="shared" si="8"/>
        <v>1280</v>
      </c>
      <c r="J133" s="7" t="s">
        <v>19</v>
      </c>
      <c r="K133" s="7" t="s">
        <v>34</v>
      </c>
      <c r="L133" s="10" t="s">
        <v>16</v>
      </c>
    </row>
    <row r="134" spans="1:12" x14ac:dyDescent="0.3">
      <c r="A134" s="6" t="s">
        <v>180</v>
      </c>
      <c r="B134" s="18">
        <v>45784</v>
      </c>
      <c r="C134" s="18" t="s">
        <v>56</v>
      </c>
      <c r="D134" s="7">
        <v>5</v>
      </c>
      <c r="E134" s="8">
        <v>9800</v>
      </c>
      <c r="F134" s="9">
        <v>0.2</v>
      </c>
      <c r="G134" s="8">
        <f t="shared" si="6"/>
        <v>39200</v>
      </c>
      <c r="H134" s="8">
        <f t="shared" si="7"/>
        <v>31850</v>
      </c>
      <c r="I134" s="8">
        <f t="shared" si="8"/>
        <v>7350</v>
      </c>
      <c r="J134" s="7" t="s">
        <v>23</v>
      </c>
      <c r="K134" s="7" t="s">
        <v>66</v>
      </c>
      <c r="L134" s="10" t="s">
        <v>21</v>
      </c>
    </row>
    <row r="135" spans="1:12" x14ac:dyDescent="0.3">
      <c r="A135" s="6" t="s">
        <v>181</v>
      </c>
      <c r="B135" s="18">
        <v>45897</v>
      </c>
      <c r="C135" s="18" t="s">
        <v>56</v>
      </c>
      <c r="D135" s="7">
        <v>6</v>
      </c>
      <c r="E135" s="8">
        <v>9310</v>
      </c>
      <c r="F135" s="9">
        <v>0.2</v>
      </c>
      <c r="G135" s="8">
        <f t="shared" si="6"/>
        <v>44688</v>
      </c>
      <c r="H135" s="8">
        <f t="shared" si="7"/>
        <v>36309</v>
      </c>
      <c r="I135" s="8">
        <f t="shared" si="8"/>
        <v>8379</v>
      </c>
      <c r="J135" s="7" t="s">
        <v>14</v>
      </c>
      <c r="K135" s="7" t="s">
        <v>15</v>
      </c>
      <c r="L135" s="10" t="s">
        <v>16</v>
      </c>
    </row>
    <row r="136" spans="1:12" x14ac:dyDescent="0.3">
      <c r="A136" s="6" t="s">
        <v>182</v>
      </c>
      <c r="B136" s="18">
        <v>46133</v>
      </c>
      <c r="C136" s="18" t="s">
        <v>60</v>
      </c>
      <c r="D136" s="7">
        <v>2</v>
      </c>
      <c r="E136" s="8">
        <v>2310</v>
      </c>
      <c r="F136" s="9">
        <v>0.05</v>
      </c>
      <c r="G136" s="8">
        <f t="shared" si="6"/>
        <v>4389</v>
      </c>
      <c r="H136" s="8">
        <f t="shared" si="7"/>
        <v>3003</v>
      </c>
      <c r="I136" s="8">
        <f t="shared" si="8"/>
        <v>1386</v>
      </c>
      <c r="J136" s="7" t="s">
        <v>19</v>
      </c>
      <c r="K136" s="7" t="s">
        <v>70</v>
      </c>
      <c r="L136" s="10" t="s">
        <v>25</v>
      </c>
    </row>
    <row r="137" spans="1:12" x14ac:dyDescent="0.3">
      <c r="A137" s="6" t="s">
        <v>183</v>
      </c>
      <c r="B137" s="18">
        <v>46162</v>
      </c>
      <c r="C137" s="18" t="s">
        <v>30</v>
      </c>
      <c r="D137" s="7">
        <v>4</v>
      </c>
      <c r="E137" s="8">
        <v>617.5</v>
      </c>
      <c r="F137" s="9">
        <v>0.2</v>
      </c>
      <c r="G137" s="8">
        <f t="shared" si="6"/>
        <v>1976</v>
      </c>
      <c r="H137" s="8">
        <f t="shared" si="7"/>
        <v>1605.5</v>
      </c>
      <c r="I137" s="8">
        <f t="shared" si="8"/>
        <v>370.5</v>
      </c>
      <c r="J137" s="7" t="s">
        <v>14</v>
      </c>
      <c r="K137" s="7" t="s">
        <v>47</v>
      </c>
      <c r="L137" s="10" t="s">
        <v>25</v>
      </c>
    </row>
    <row r="138" spans="1:12" x14ac:dyDescent="0.3">
      <c r="A138" s="6" t="s">
        <v>184</v>
      </c>
      <c r="B138" s="18">
        <v>46037</v>
      </c>
      <c r="C138" s="18" t="s">
        <v>51</v>
      </c>
      <c r="D138" s="7">
        <v>3</v>
      </c>
      <c r="E138" s="8">
        <v>2730</v>
      </c>
      <c r="F138" s="9">
        <v>0.15</v>
      </c>
      <c r="G138" s="8">
        <f t="shared" si="6"/>
        <v>6961.5</v>
      </c>
      <c r="H138" s="8">
        <f t="shared" si="7"/>
        <v>5323.5</v>
      </c>
      <c r="I138" s="8">
        <f t="shared" si="8"/>
        <v>1638</v>
      </c>
      <c r="J138" s="7" t="s">
        <v>19</v>
      </c>
      <c r="K138" s="7" t="s">
        <v>79</v>
      </c>
      <c r="L138" s="10" t="s">
        <v>16</v>
      </c>
    </row>
    <row r="139" spans="1:12" x14ac:dyDescent="0.3">
      <c r="A139" s="6" t="s">
        <v>185</v>
      </c>
      <c r="B139" s="18">
        <v>46075</v>
      </c>
      <c r="C139" s="18" t="s">
        <v>60</v>
      </c>
      <c r="D139" s="7">
        <v>6</v>
      </c>
      <c r="E139" s="8">
        <v>2090</v>
      </c>
      <c r="F139" s="9">
        <v>0.05</v>
      </c>
      <c r="G139" s="8">
        <f t="shared" si="6"/>
        <v>11913</v>
      </c>
      <c r="H139" s="8">
        <f t="shared" si="7"/>
        <v>8151</v>
      </c>
      <c r="I139" s="8">
        <f t="shared" si="8"/>
        <v>3762</v>
      </c>
      <c r="J139" s="7" t="s">
        <v>23</v>
      </c>
      <c r="K139" s="7" t="s">
        <v>72</v>
      </c>
      <c r="L139" s="10" t="s">
        <v>21</v>
      </c>
    </row>
    <row r="140" spans="1:12" x14ac:dyDescent="0.3">
      <c r="A140" s="6" t="s">
        <v>186</v>
      </c>
      <c r="B140" s="18">
        <v>46029</v>
      </c>
      <c r="C140" s="18" t="s">
        <v>30</v>
      </c>
      <c r="D140" s="7">
        <v>6</v>
      </c>
      <c r="E140" s="8">
        <v>650</v>
      </c>
      <c r="F140" s="9">
        <v>0</v>
      </c>
      <c r="G140" s="8">
        <f t="shared" si="6"/>
        <v>3900</v>
      </c>
      <c r="H140" s="8">
        <f t="shared" si="7"/>
        <v>2535</v>
      </c>
      <c r="I140" s="8">
        <f t="shared" si="8"/>
        <v>1365</v>
      </c>
      <c r="J140" s="7" t="s">
        <v>23</v>
      </c>
      <c r="K140" s="7" t="s">
        <v>66</v>
      </c>
      <c r="L140" s="10" t="s">
        <v>21</v>
      </c>
    </row>
    <row r="141" spans="1:12" x14ac:dyDescent="0.3">
      <c r="A141" s="6" t="s">
        <v>187</v>
      </c>
      <c r="B141" s="18">
        <v>45783</v>
      </c>
      <c r="C141" s="18" t="s">
        <v>56</v>
      </c>
      <c r="D141" s="7">
        <v>4</v>
      </c>
      <c r="E141" s="8">
        <v>9310</v>
      </c>
      <c r="F141" s="9">
        <v>0.2</v>
      </c>
      <c r="G141" s="8">
        <f t="shared" si="6"/>
        <v>29792</v>
      </c>
      <c r="H141" s="8">
        <f t="shared" si="7"/>
        <v>24206</v>
      </c>
      <c r="I141" s="8">
        <f t="shared" si="8"/>
        <v>5586</v>
      </c>
      <c r="J141" s="7" t="s">
        <v>19</v>
      </c>
      <c r="K141" s="7" t="s">
        <v>70</v>
      </c>
      <c r="L141" s="10" t="s">
        <v>25</v>
      </c>
    </row>
    <row r="142" spans="1:12" x14ac:dyDescent="0.3">
      <c r="A142" s="6" t="s">
        <v>188</v>
      </c>
      <c r="B142" s="18">
        <v>45907</v>
      </c>
      <c r="C142" s="18" t="s">
        <v>88</v>
      </c>
      <c r="D142" s="7">
        <v>2</v>
      </c>
      <c r="E142" s="8">
        <v>1500</v>
      </c>
      <c r="F142" s="9">
        <v>0.2</v>
      </c>
      <c r="G142" s="8">
        <f t="shared" si="6"/>
        <v>2400</v>
      </c>
      <c r="H142" s="8">
        <f t="shared" si="7"/>
        <v>1950</v>
      </c>
      <c r="I142" s="8">
        <f t="shared" si="8"/>
        <v>450</v>
      </c>
      <c r="J142" s="7" t="s">
        <v>14</v>
      </c>
      <c r="K142" s="7" t="s">
        <v>40</v>
      </c>
      <c r="L142" s="10" t="s">
        <v>21</v>
      </c>
    </row>
    <row r="143" spans="1:12" x14ac:dyDescent="0.3">
      <c r="A143" s="6" t="s">
        <v>189</v>
      </c>
      <c r="B143" s="18">
        <v>45994</v>
      </c>
      <c r="C143" s="18" t="s">
        <v>88</v>
      </c>
      <c r="D143" s="7">
        <v>5</v>
      </c>
      <c r="E143" s="8">
        <v>1425</v>
      </c>
      <c r="F143" s="9">
        <v>0.05</v>
      </c>
      <c r="G143" s="8">
        <f t="shared" si="6"/>
        <v>6768.75</v>
      </c>
      <c r="H143" s="8">
        <f t="shared" si="7"/>
        <v>4631.25</v>
      </c>
      <c r="I143" s="8">
        <f t="shared" si="8"/>
        <v>2137.5</v>
      </c>
      <c r="J143" s="7" t="s">
        <v>14</v>
      </c>
      <c r="K143" s="7" t="s">
        <v>36</v>
      </c>
      <c r="L143" s="10" t="s">
        <v>21</v>
      </c>
    </row>
    <row r="144" spans="1:12" x14ac:dyDescent="0.3">
      <c r="A144" s="6" t="s">
        <v>190</v>
      </c>
      <c r="B144" s="18">
        <v>45770</v>
      </c>
      <c r="C144" s="18" t="s">
        <v>13</v>
      </c>
      <c r="D144" s="7">
        <v>1</v>
      </c>
      <c r="E144" s="8">
        <v>52000</v>
      </c>
      <c r="F144" s="9">
        <v>0.1</v>
      </c>
      <c r="G144" s="8">
        <f t="shared" si="6"/>
        <v>46800</v>
      </c>
      <c r="H144" s="8">
        <f t="shared" si="7"/>
        <v>33800</v>
      </c>
      <c r="I144" s="8">
        <f t="shared" si="8"/>
        <v>13000</v>
      </c>
      <c r="J144" s="7" t="s">
        <v>14</v>
      </c>
      <c r="K144" s="7" t="s">
        <v>36</v>
      </c>
      <c r="L144" s="10" t="s">
        <v>21</v>
      </c>
    </row>
    <row r="145" spans="1:12" x14ac:dyDescent="0.3">
      <c r="A145" s="6" t="s">
        <v>191</v>
      </c>
      <c r="B145" s="18">
        <v>45836</v>
      </c>
      <c r="C145" s="18" t="s">
        <v>60</v>
      </c>
      <c r="D145" s="7">
        <v>3</v>
      </c>
      <c r="E145" s="8">
        <v>2090</v>
      </c>
      <c r="F145" s="9">
        <v>0.15</v>
      </c>
      <c r="G145" s="8">
        <f t="shared" si="6"/>
        <v>5329.5</v>
      </c>
      <c r="H145" s="8">
        <f t="shared" si="7"/>
        <v>4075.5</v>
      </c>
      <c r="I145" s="8">
        <f t="shared" si="8"/>
        <v>1254</v>
      </c>
      <c r="J145" s="7" t="s">
        <v>19</v>
      </c>
      <c r="K145" s="7" t="s">
        <v>70</v>
      </c>
      <c r="L145" s="10" t="s">
        <v>25</v>
      </c>
    </row>
    <row r="146" spans="1:12" x14ac:dyDescent="0.3">
      <c r="A146" s="6" t="s">
        <v>192</v>
      </c>
      <c r="B146" s="18">
        <v>46117</v>
      </c>
      <c r="C146" s="18" t="s">
        <v>661</v>
      </c>
      <c r="D146" s="7">
        <v>8</v>
      </c>
      <c r="E146" s="8">
        <v>665</v>
      </c>
      <c r="F146" s="9">
        <v>0.2</v>
      </c>
      <c r="G146" s="8">
        <f t="shared" si="6"/>
        <v>4256</v>
      </c>
      <c r="H146" s="8">
        <f t="shared" si="7"/>
        <v>3458</v>
      </c>
      <c r="I146" s="8">
        <f t="shared" si="8"/>
        <v>798</v>
      </c>
      <c r="J146" s="7" t="s">
        <v>14</v>
      </c>
      <c r="K146" s="7" t="s">
        <v>15</v>
      </c>
      <c r="L146" s="10" t="s">
        <v>16</v>
      </c>
    </row>
    <row r="147" spans="1:12" x14ac:dyDescent="0.3">
      <c r="A147" s="6" t="s">
        <v>193</v>
      </c>
      <c r="B147" s="18">
        <v>46191</v>
      </c>
      <c r="C147" s="18" t="s">
        <v>60</v>
      </c>
      <c r="D147" s="7">
        <v>1</v>
      </c>
      <c r="E147" s="8">
        <v>2310</v>
      </c>
      <c r="F147" s="9">
        <v>0</v>
      </c>
      <c r="G147" s="8">
        <f t="shared" si="6"/>
        <v>2310</v>
      </c>
      <c r="H147" s="8">
        <f t="shared" si="7"/>
        <v>1501.5</v>
      </c>
      <c r="I147" s="8">
        <f t="shared" si="8"/>
        <v>808.5</v>
      </c>
      <c r="J147" s="7" t="s">
        <v>23</v>
      </c>
      <c r="K147" s="7" t="s">
        <v>72</v>
      </c>
      <c r="L147" s="10" t="s">
        <v>25</v>
      </c>
    </row>
    <row r="148" spans="1:12" x14ac:dyDescent="0.3">
      <c r="A148" s="6" t="s">
        <v>194</v>
      </c>
      <c r="B148" s="18">
        <v>45768</v>
      </c>
      <c r="C148" s="18" t="s">
        <v>56</v>
      </c>
      <c r="D148" s="7">
        <v>2</v>
      </c>
      <c r="E148" s="8">
        <v>10290</v>
      </c>
      <c r="F148" s="9">
        <v>0</v>
      </c>
      <c r="G148" s="8">
        <f t="shared" si="6"/>
        <v>20580</v>
      </c>
      <c r="H148" s="8">
        <f t="shared" si="7"/>
        <v>13377</v>
      </c>
      <c r="I148" s="8">
        <f t="shared" si="8"/>
        <v>7203</v>
      </c>
      <c r="J148" s="7" t="s">
        <v>27</v>
      </c>
      <c r="K148" s="7" t="s">
        <v>28</v>
      </c>
      <c r="L148" s="10" t="s">
        <v>21</v>
      </c>
    </row>
    <row r="149" spans="1:12" x14ac:dyDescent="0.3">
      <c r="A149" s="6" t="s">
        <v>195</v>
      </c>
      <c r="B149" s="18">
        <v>45787</v>
      </c>
      <c r="C149" s="18" t="s">
        <v>60</v>
      </c>
      <c r="D149" s="7">
        <v>7</v>
      </c>
      <c r="E149" s="8">
        <v>2200</v>
      </c>
      <c r="F149" s="9">
        <v>0.2</v>
      </c>
      <c r="G149" s="8">
        <f t="shared" si="6"/>
        <v>12320</v>
      </c>
      <c r="H149" s="8">
        <f t="shared" si="7"/>
        <v>10010</v>
      </c>
      <c r="I149" s="8">
        <f t="shared" si="8"/>
        <v>2310</v>
      </c>
      <c r="J149" s="7" t="s">
        <v>27</v>
      </c>
      <c r="K149" s="7" t="s">
        <v>52</v>
      </c>
      <c r="L149" s="10" t="s">
        <v>16</v>
      </c>
    </row>
    <row r="150" spans="1:12" x14ac:dyDescent="0.3">
      <c r="A150" s="6" t="s">
        <v>196</v>
      </c>
      <c r="B150" s="18">
        <v>46098</v>
      </c>
      <c r="C150" s="18" t="s">
        <v>30</v>
      </c>
      <c r="D150" s="7">
        <v>4</v>
      </c>
      <c r="E150" s="8">
        <v>617.5</v>
      </c>
      <c r="F150" s="9">
        <v>0.15</v>
      </c>
      <c r="G150" s="8">
        <f t="shared" si="6"/>
        <v>2099.5</v>
      </c>
      <c r="H150" s="8">
        <f t="shared" si="7"/>
        <v>1605.5</v>
      </c>
      <c r="I150" s="8">
        <f t="shared" si="8"/>
        <v>494</v>
      </c>
      <c r="J150" s="7" t="s">
        <v>23</v>
      </c>
      <c r="K150" s="7" t="s">
        <v>24</v>
      </c>
      <c r="L150" s="10" t="s">
        <v>25</v>
      </c>
    </row>
    <row r="151" spans="1:12" x14ac:dyDescent="0.3">
      <c r="A151" s="6" t="s">
        <v>197</v>
      </c>
      <c r="B151" s="18">
        <v>46005</v>
      </c>
      <c r="C151" s="18" t="s">
        <v>56</v>
      </c>
      <c r="D151" s="7">
        <v>7</v>
      </c>
      <c r="E151" s="8">
        <v>10290</v>
      </c>
      <c r="F151" s="9">
        <v>0</v>
      </c>
      <c r="G151" s="8">
        <f t="shared" si="6"/>
        <v>72030</v>
      </c>
      <c r="H151" s="8">
        <f t="shared" si="7"/>
        <v>46819.5</v>
      </c>
      <c r="I151" s="8">
        <f t="shared" si="8"/>
        <v>25210.5</v>
      </c>
      <c r="J151" s="7" t="s">
        <v>27</v>
      </c>
      <c r="K151" s="7" t="s">
        <v>52</v>
      </c>
      <c r="L151" s="10" t="s">
        <v>25</v>
      </c>
    </row>
    <row r="152" spans="1:12" x14ac:dyDescent="0.3">
      <c r="A152" s="6" t="s">
        <v>198</v>
      </c>
      <c r="B152" s="18">
        <v>45919</v>
      </c>
      <c r="C152" s="18" t="s">
        <v>661</v>
      </c>
      <c r="D152" s="7">
        <v>8</v>
      </c>
      <c r="E152" s="8">
        <v>700</v>
      </c>
      <c r="F152" s="9">
        <v>0</v>
      </c>
      <c r="G152" s="8">
        <f t="shared" si="6"/>
        <v>5600</v>
      </c>
      <c r="H152" s="8">
        <f t="shared" si="7"/>
        <v>3640</v>
      </c>
      <c r="I152" s="8">
        <f t="shared" si="8"/>
        <v>1960</v>
      </c>
      <c r="J152" s="7" t="s">
        <v>19</v>
      </c>
      <c r="K152" s="7" t="s">
        <v>70</v>
      </c>
      <c r="L152" s="10" t="s">
        <v>21</v>
      </c>
    </row>
    <row r="153" spans="1:12" x14ac:dyDescent="0.3">
      <c r="A153" s="6" t="s">
        <v>199</v>
      </c>
      <c r="B153" s="18">
        <v>46100</v>
      </c>
      <c r="C153" s="18" t="s">
        <v>30</v>
      </c>
      <c r="D153" s="7">
        <v>3</v>
      </c>
      <c r="E153" s="8">
        <v>650</v>
      </c>
      <c r="F153" s="9">
        <v>0.2</v>
      </c>
      <c r="G153" s="8">
        <f t="shared" si="6"/>
        <v>1560</v>
      </c>
      <c r="H153" s="8">
        <f t="shared" si="7"/>
        <v>1267.5</v>
      </c>
      <c r="I153" s="8">
        <f t="shared" si="8"/>
        <v>292.5</v>
      </c>
      <c r="J153" s="7" t="s">
        <v>19</v>
      </c>
      <c r="K153" s="7" t="s">
        <v>34</v>
      </c>
      <c r="L153" s="10" t="s">
        <v>16</v>
      </c>
    </row>
    <row r="154" spans="1:12" x14ac:dyDescent="0.3">
      <c r="A154" s="6" t="s">
        <v>200</v>
      </c>
      <c r="B154" s="18">
        <v>45783</v>
      </c>
      <c r="C154" s="18" t="s">
        <v>43</v>
      </c>
      <c r="D154" s="7">
        <v>7</v>
      </c>
      <c r="E154" s="8">
        <v>3200</v>
      </c>
      <c r="F154" s="9">
        <v>0</v>
      </c>
      <c r="G154" s="8">
        <f t="shared" si="6"/>
        <v>22400</v>
      </c>
      <c r="H154" s="8">
        <f t="shared" si="7"/>
        <v>14560</v>
      </c>
      <c r="I154" s="8">
        <f t="shared" si="8"/>
        <v>7840</v>
      </c>
      <c r="J154" s="7" t="s">
        <v>27</v>
      </c>
      <c r="K154" s="7" t="s">
        <v>31</v>
      </c>
      <c r="L154" s="10" t="s">
        <v>25</v>
      </c>
    </row>
    <row r="155" spans="1:12" x14ac:dyDescent="0.3">
      <c r="A155" s="6" t="s">
        <v>201</v>
      </c>
      <c r="B155" s="18">
        <v>45764</v>
      </c>
      <c r="C155" s="18" t="s">
        <v>18</v>
      </c>
      <c r="D155" s="7">
        <v>3</v>
      </c>
      <c r="E155" s="8">
        <v>1800</v>
      </c>
      <c r="F155" s="9">
        <v>0.15</v>
      </c>
      <c r="G155" s="8">
        <f t="shared" si="6"/>
        <v>4590</v>
      </c>
      <c r="H155" s="8">
        <f t="shared" si="7"/>
        <v>3510</v>
      </c>
      <c r="I155" s="8">
        <f t="shared" si="8"/>
        <v>1080</v>
      </c>
      <c r="J155" s="7" t="s">
        <v>14</v>
      </c>
      <c r="K155" s="7" t="s">
        <v>15</v>
      </c>
      <c r="L155" s="10" t="s">
        <v>25</v>
      </c>
    </row>
    <row r="156" spans="1:12" x14ac:dyDescent="0.3">
      <c r="A156" s="6" t="s">
        <v>202</v>
      </c>
      <c r="B156" s="18">
        <v>46034</v>
      </c>
      <c r="C156" s="18" t="s">
        <v>30</v>
      </c>
      <c r="D156" s="7">
        <v>4</v>
      </c>
      <c r="E156" s="8">
        <v>650</v>
      </c>
      <c r="F156" s="9">
        <v>0.15</v>
      </c>
      <c r="G156" s="8">
        <f t="shared" si="6"/>
        <v>2210</v>
      </c>
      <c r="H156" s="8">
        <f t="shared" si="7"/>
        <v>1690</v>
      </c>
      <c r="I156" s="8">
        <f t="shared" si="8"/>
        <v>520</v>
      </c>
      <c r="J156" s="7" t="s">
        <v>19</v>
      </c>
      <c r="K156" s="7" t="s">
        <v>34</v>
      </c>
      <c r="L156" s="10" t="s">
        <v>21</v>
      </c>
    </row>
    <row r="157" spans="1:12" x14ac:dyDescent="0.3">
      <c r="A157" s="6" t="s">
        <v>203</v>
      </c>
      <c r="B157" s="18">
        <v>45842</v>
      </c>
      <c r="C157" s="18" t="s">
        <v>60</v>
      </c>
      <c r="D157" s="7">
        <v>6</v>
      </c>
      <c r="E157" s="8">
        <v>2200</v>
      </c>
      <c r="F157" s="9">
        <v>0.1</v>
      </c>
      <c r="G157" s="8">
        <f t="shared" si="6"/>
        <v>11880</v>
      </c>
      <c r="H157" s="8">
        <f t="shared" si="7"/>
        <v>8580</v>
      </c>
      <c r="I157" s="8">
        <f t="shared" si="8"/>
        <v>3300</v>
      </c>
      <c r="J157" s="7" t="s">
        <v>19</v>
      </c>
      <c r="K157" s="7" t="s">
        <v>20</v>
      </c>
      <c r="L157" s="10" t="s">
        <v>21</v>
      </c>
    </row>
    <row r="158" spans="1:12" x14ac:dyDescent="0.3">
      <c r="A158" s="6" t="s">
        <v>204</v>
      </c>
      <c r="B158" s="18">
        <v>46068</v>
      </c>
      <c r="C158" s="18" t="s">
        <v>30</v>
      </c>
      <c r="D158" s="7">
        <v>1</v>
      </c>
      <c r="E158" s="8">
        <v>650</v>
      </c>
      <c r="F158" s="9">
        <v>0</v>
      </c>
      <c r="G158" s="8">
        <f t="shared" si="6"/>
        <v>650</v>
      </c>
      <c r="H158" s="8">
        <f t="shared" si="7"/>
        <v>422.5</v>
      </c>
      <c r="I158" s="8">
        <f t="shared" si="8"/>
        <v>227.5</v>
      </c>
      <c r="J158" s="7" t="s">
        <v>14</v>
      </c>
      <c r="K158" s="7" t="s">
        <v>47</v>
      </c>
      <c r="L158" s="10" t="s">
        <v>25</v>
      </c>
    </row>
    <row r="159" spans="1:12" x14ac:dyDescent="0.3">
      <c r="A159" s="6" t="s">
        <v>205</v>
      </c>
      <c r="B159" s="18">
        <v>46122</v>
      </c>
      <c r="C159" s="18" t="s">
        <v>661</v>
      </c>
      <c r="D159" s="7">
        <v>6</v>
      </c>
      <c r="E159" s="8">
        <v>700</v>
      </c>
      <c r="F159" s="9">
        <v>0.1</v>
      </c>
      <c r="G159" s="8">
        <f t="shared" si="6"/>
        <v>3780</v>
      </c>
      <c r="H159" s="8">
        <f t="shared" si="7"/>
        <v>2730</v>
      </c>
      <c r="I159" s="8">
        <f t="shared" si="8"/>
        <v>1050</v>
      </c>
      <c r="J159" s="7" t="s">
        <v>27</v>
      </c>
      <c r="K159" s="7" t="s">
        <v>49</v>
      </c>
      <c r="L159" s="10" t="s">
        <v>21</v>
      </c>
    </row>
    <row r="160" spans="1:12" x14ac:dyDescent="0.3">
      <c r="A160" s="6" t="s">
        <v>206</v>
      </c>
      <c r="B160" s="18">
        <v>45817</v>
      </c>
      <c r="C160" s="18" t="s">
        <v>88</v>
      </c>
      <c r="D160" s="7">
        <v>2</v>
      </c>
      <c r="E160" s="8">
        <v>1425</v>
      </c>
      <c r="F160" s="9">
        <v>0.1</v>
      </c>
      <c r="G160" s="8">
        <f t="shared" si="6"/>
        <v>2565</v>
      </c>
      <c r="H160" s="8">
        <f t="shared" si="7"/>
        <v>1852.5</v>
      </c>
      <c r="I160" s="8">
        <f t="shared" si="8"/>
        <v>712.5</v>
      </c>
      <c r="J160" s="7" t="s">
        <v>23</v>
      </c>
      <c r="K160" s="7" t="s">
        <v>72</v>
      </c>
      <c r="L160" s="10" t="s">
        <v>25</v>
      </c>
    </row>
    <row r="161" spans="1:12" x14ac:dyDescent="0.3">
      <c r="A161" s="6" t="s">
        <v>207</v>
      </c>
      <c r="B161" s="18">
        <v>46110</v>
      </c>
      <c r="C161" s="18" t="s">
        <v>43</v>
      </c>
      <c r="D161" s="7">
        <v>4</v>
      </c>
      <c r="E161" s="8">
        <v>3200</v>
      </c>
      <c r="F161" s="9">
        <v>0.2</v>
      </c>
      <c r="G161" s="8">
        <f t="shared" si="6"/>
        <v>10240</v>
      </c>
      <c r="H161" s="8">
        <f t="shared" si="7"/>
        <v>8320</v>
      </c>
      <c r="I161" s="8">
        <f t="shared" si="8"/>
        <v>1920</v>
      </c>
      <c r="J161" s="7" t="s">
        <v>19</v>
      </c>
      <c r="K161" s="7" t="s">
        <v>34</v>
      </c>
      <c r="L161" s="10" t="s">
        <v>25</v>
      </c>
    </row>
    <row r="162" spans="1:12" x14ac:dyDescent="0.3">
      <c r="A162" s="6" t="s">
        <v>208</v>
      </c>
      <c r="B162" s="18">
        <v>45771</v>
      </c>
      <c r="C162" s="18" t="s">
        <v>60</v>
      </c>
      <c r="D162" s="7">
        <v>5</v>
      </c>
      <c r="E162" s="8">
        <v>2310</v>
      </c>
      <c r="F162" s="9">
        <v>0</v>
      </c>
      <c r="G162" s="8">
        <f t="shared" si="6"/>
        <v>11550</v>
      </c>
      <c r="H162" s="8">
        <f t="shared" si="7"/>
        <v>7507.5</v>
      </c>
      <c r="I162" s="8">
        <f t="shared" si="8"/>
        <v>4042.5</v>
      </c>
      <c r="J162" s="7" t="s">
        <v>14</v>
      </c>
      <c r="K162" s="7" t="s">
        <v>47</v>
      </c>
      <c r="L162" s="10" t="s">
        <v>16</v>
      </c>
    </row>
    <row r="163" spans="1:12" x14ac:dyDescent="0.3">
      <c r="A163" s="6" t="s">
        <v>209</v>
      </c>
      <c r="B163" s="18">
        <v>45714</v>
      </c>
      <c r="C163" s="18" t="s">
        <v>13</v>
      </c>
      <c r="D163" s="7">
        <v>5</v>
      </c>
      <c r="E163" s="8">
        <v>52000</v>
      </c>
      <c r="F163" s="9">
        <v>0.05</v>
      </c>
      <c r="G163" s="8">
        <f t="shared" si="6"/>
        <v>247000</v>
      </c>
      <c r="H163" s="8">
        <f t="shared" si="7"/>
        <v>169000</v>
      </c>
      <c r="I163" s="8">
        <f t="shared" si="8"/>
        <v>78000</v>
      </c>
      <c r="J163" s="7" t="s">
        <v>14</v>
      </c>
      <c r="K163" s="7" t="s">
        <v>36</v>
      </c>
      <c r="L163" s="10" t="s">
        <v>25</v>
      </c>
    </row>
    <row r="164" spans="1:12" x14ac:dyDescent="0.3">
      <c r="A164" s="6" t="s">
        <v>210</v>
      </c>
      <c r="B164" s="18">
        <v>45993</v>
      </c>
      <c r="C164" s="18" t="s">
        <v>30</v>
      </c>
      <c r="D164" s="7">
        <v>8</v>
      </c>
      <c r="E164" s="8">
        <v>617.5</v>
      </c>
      <c r="F164" s="9">
        <v>0.15</v>
      </c>
      <c r="G164" s="8">
        <f t="shared" si="6"/>
        <v>4199</v>
      </c>
      <c r="H164" s="8">
        <f t="shared" si="7"/>
        <v>3211</v>
      </c>
      <c r="I164" s="8">
        <f t="shared" si="8"/>
        <v>988</v>
      </c>
      <c r="J164" s="7" t="s">
        <v>14</v>
      </c>
      <c r="K164" s="7" t="s">
        <v>40</v>
      </c>
      <c r="L164" s="10" t="s">
        <v>25</v>
      </c>
    </row>
    <row r="165" spans="1:12" x14ac:dyDescent="0.3">
      <c r="A165" s="6" t="s">
        <v>211</v>
      </c>
      <c r="B165" s="18">
        <v>46203</v>
      </c>
      <c r="C165" s="18" t="s">
        <v>39</v>
      </c>
      <c r="D165" s="7">
        <v>2</v>
      </c>
      <c r="E165" s="8">
        <v>12500</v>
      </c>
      <c r="F165" s="9">
        <v>0.15</v>
      </c>
      <c r="G165" s="8">
        <f t="shared" si="6"/>
        <v>21250</v>
      </c>
      <c r="H165" s="8">
        <f t="shared" si="7"/>
        <v>16250</v>
      </c>
      <c r="I165" s="8">
        <f t="shared" si="8"/>
        <v>5000</v>
      </c>
      <c r="J165" s="7" t="s">
        <v>19</v>
      </c>
      <c r="K165" s="7" t="s">
        <v>79</v>
      </c>
      <c r="L165" s="10" t="s">
        <v>21</v>
      </c>
    </row>
    <row r="166" spans="1:12" x14ac:dyDescent="0.3">
      <c r="A166" s="6" t="s">
        <v>212</v>
      </c>
      <c r="B166" s="18">
        <v>46128</v>
      </c>
      <c r="C166" s="18" t="s">
        <v>30</v>
      </c>
      <c r="D166" s="7">
        <v>7</v>
      </c>
      <c r="E166" s="8">
        <v>650</v>
      </c>
      <c r="F166" s="9">
        <v>0.2</v>
      </c>
      <c r="G166" s="8">
        <f t="shared" si="6"/>
        <v>3640</v>
      </c>
      <c r="H166" s="8">
        <f t="shared" si="7"/>
        <v>2957.5</v>
      </c>
      <c r="I166" s="8">
        <f t="shared" si="8"/>
        <v>682.5</v>
      </c>
      <c r="J166" s="7" t="s">
        <v>23</v>
      </c>
      <c r="K166" s="7" t="s">
        <v>72</v>
      </c>
      <c r="L166" s="10" t="s">
        <v>25</v>
      </c>
    </row>
    <row r="167" spans="1:12" x14ac:dyDescent="0.3">
      <c r="A167" s="6" t="s">
        <v>213</v>
      </c>
      <c r="B167" s="18">
        <v>45775</v>
      </c>
      <c r="C167" s="18" t="s">
        <v>43</v>
      </c>
      <c r="D167" s="7">
        <v>6</v>
      </c>
      <c r="E167" s="8">
        <v>3040</v>
      </c>
      <c r="F167" s="9">
        <v>0.05</v>
      </c>
      <c r="G167" s="8">
        <f t="shared" si="6"/>
        <v>17328</v>
      </c>
      <c r="H167" s="8">
        <f t="shared" si="7"/>
        <v>11856</v>
      </c>
      <c r="I167" s="8">
        <f t="shared" si="8"/>
        <v>5472</v>
      </c>
      <c r="J167" s="7" t="s">
        <v>23</v>
      </c>
      <c r="K167" s="7" t="s">
        <v>66</v>
      </c>
      <c r="L167" s="10" t="s">
        <v>21</v>
      </c>
    </row>
    <row r="168" spans="1:12" x14ac:dyDescent="0.3">
      <c r="A168" s="6" t="s">
        <v>214</v>
      </c>
      <c r="B168" s="18">
        <v>46105</v>
      </c>
      <c r="C168" s="18" t="s">
        <v>30</v>
      </c>
      <c r="D168" s="7">
        <v>7</v>
      </c>
      <c r="E168" s="8">
        <v>650</v>
      </c>
      <c r="F168" s="9">
        <v>0.2</v>
      </c>
      <c r="G168" s="8">
        <f t="shared" si="6"/>
        <v>3640</v>
      </c>
      <c r="H168" s="8">
        <f t="shared" si="7"/>
        <v>2957.5</v>
      </c>
      <c r="I168" s="8">
        <f t="shared" si="8"/>
        <v>682.5</v>
      </c>
      <c r="J168" s="7" t="s">
        <v>23</v>
      </c>
      <c r="K168" s="7" t="s">
        <v>61</v>
      </c>
      <c r="L168" s="10" t="s">
        <v>25</v>
      </c>
    </row>
    <row r="169" spans="1:12" x14ac:dyDescent="0.3">
      <c r="A169" s="6" t="s">
        <v>215</v>
      </c>
      <c r="B169" s="18">
        <v>45975</v>
      </c>
      <c r="C169" s="18" t="s">
        <v>661</v>
      </c>
      <c r="D169" s="7">
        <v>6</v>
      </c>
      <c r="E169" s="8">
        <v>700</v>
      </c>
      <c r="F169" s="9">
        <v>0.05</v>
      </c>
      <c r="G169" s="8">
        <f t="shared" si="6"/>
        <v>3990</v>
      </c>
      <c r="H169" s="8">
        <f t="shared" si="7"/>
        <v>2730</v>
      </c>
      <c r="I169" s="8">
        <f t="shared" si="8"/>
        <v>1260</v>
      </c>
      <c r="J169" s="7" t="s">
        <v>19</v>
      </c>
      <c r="K169" s="7" t="s">
        <v>70</v>
      </c>
      <c r="L169" s="10" t="s">
        <v>16</v>
      </c>
    </row>
    <row r="170" spans="1:12" x14ac:dyDescent="0.3">
      <c r="A170" s="6" t="s">
        <v>216</v>
      </c>
      <c r="B170" s="18">
        <v>46180</v>
      </c>
      <c r="C170" s="18" t="s">
        <v>39</v>
      </c>
      <c r="D170" s="7">
        <v>6</v>
      </c>
      <c r="E170" s="8">
        <v>12500</v>
      </c>
      <c r="F170" s="9">
        <v>0.05</v>
      </c>
      <c r="G170" s="8">
        <f t="shared" si="6"/>
        <v>71250</v>
      </c>
      <c r="H170" s="8">
        <f t="shared" si="7"/>
        <v>48750</v>
      </c>
      <c r="I170" s="8">
        <f t="shared" si="8"/>
        <v>22500</v>
      </c>
      <c r="J170" s="7" t="s">
        <v>14</v>
      </c>
      <c r="K170" s="7" t="s">
        <v>15</v>
      </c>
      <c r="L170" s="10" t="s">
        <v>21</v>
      </c>
    </row>
    <row r="171" spans="1:12" x14ac:dyDescent="0.3">
      <c r="A171" s="6" t="s">
        <v>217</v>
      </c>
      <c r="B171" s="18">
        <v>45920</v>
      </c>
      <c r="C171" s="18" t="s">
        <v>39</v>
      </c>
      <c r="D171" s="7">
        <v>3</v>
      </c>
      <c r="E171" s="8">
        <v>12500</v>
      </c>
      <c r="F171" s="9">
        <v>0</v>
      </c>
      <c r="G171" s="8">
        <f t="shared" si="6"/>
        <v>37500</v>
      </c>
      <c r="H171" s="8">
        <f t="shared" si="7"/>
        <v>24375</v>
      </c>
      <c r="I171" s="8">
        <f t="shared" si="8"/>
        <v>13125</v>
      </c>
      <c r="J171" s="7" t="s">
        <v>14</v>
      </c>
      <c r="K171" s="7" t="s">
        <v>47</v>
      </c>
      <c r="L171" s="10" t="s">
        <v>25</v>
      </c>
    </row>
    <row r="172" spans="1:12" x14ac:dyDescent="0.3">
      <c r="A172" s="6" t="s">
        <v>218</v>
      </c>
      <c r="B172" s="18">
        <v>46117</v>
      </c>
      <c r="C172" s="18" t="s">
        <v>18</v>
      </c>
      <c r="D172" s="7">
        <v>6</v>
      </c>
      <c r="E172" s="8">
        <v>1800</v>
      </c>
      <c r="F172" s="9">
        <v>0.05</v>
      </c>
      <c r="G172" s="8">
        <f t="shared" si="6"/>
        <v>10260</v>
      </c>
      <c r="H172" s="8">
        <f t="shared" si="7"/>
        <v>7020</v>
      </c>
      <c r="I172" s="8">
        <f t="shared" si="8"/>
        <v>3240</v>
      </c>
      <c r="J172" s="7" t="s">
        <v>23</v>
      </c>
      <c r="K172" s="7" t="s">
        <v>61</v>
      </c>
      <c r="L172" s="10" t="s">
        <v>25</v>
      </c>
    </row>
    <row r="173" spans="1:12" x14ac:dyDescent="0.3">
      <c r="A173" s="6" t="s">
        <v>219</v>
      </c>
      <c r="B173" s="18">
        <v>46110</v>
      </c>
      <c r="C173" s="18" t="s">
        <v>60</v>
      </c>
      <c r="D173" s="7">
        <v>1</v>
      </c>
      <c r="E173" s="8">
        <v>2200</v>
      </c>
      <c r="F173" s="9">
        <v>0.1</v>
      </c>
      <c r="G173" s="8">
        <f t="shared" si="6"/>
        <v>1980</v>
      </c>
      <c r="H173" s="8">
        <f t="shared" si="7"/>
        <v>1430</v>
      </c>
      <c r="I173" s="8">
        <f t="shared" si="8"/>
        <v>550</v>
      </c>
      <c r="J173" s="7" t="s">
        <v>19</v>
      </c>
      <c r="K173" s="7" t="s">
        <v>34</v>
      </c>
      <c r="L173" s="10" t="s">
        <v>25</v>
      </c>
    </row>
    <row r="174" spans="1:12" x14ac:dyDescent="0.3">
      <c r="A174" s="6" t="s">
        <v>220</v>
      </c>
      <c r="B174" s="18">
        <v>46120</v>
      </c>
      <c r="C174" s="18" t="s">
        <v>13</v>
      </c>
      <c r="D174" s="7">
        <v>6</v>
      </c>
      <c r="E174" s="8">
        <v>49400</v>
      </c>
      <c r="F174" s="9">
        <v>0.1</v>
      </c>
      <c r="G174" s="8">
        <f t="shared" si="6"/>
        <v>266760</v>
      </c>
      <c r="H174" s="8">
        <f t="shared" si="7"/>
        <v>192660</v>
      </c>
      <c r="I174" s="8">
        <f t="shared" si="8"/>
        <v>74100</v>
      </c>
      <c r="J174" s="7" t="s">
        <v>19</v>
      </c>
      <c r="K174" s="7" t="s">
        <v>70</v>
      </c>
      <c r="L174" s="10" t="s">
        <v>16</v>
      </c>
    </row>
    <row r="175" spans="1:12" x14ac:dyDescent="0.3">
      <c r="A175" s="6" t="s">
        <v>221</v>
      </c>
      <c r="B175" s="18">
        <v>46177</v>
      </c>
      <c r="C175" s="18" t="s">
        <v>43</v>
      </c>
      <c r="D175" s="7">
        <v>1</v>
      </c>
      <c r="E175" s="8">
        <v>3360</v>
      </c>
      <c r="F175" s="9">
        <v>0.15</v>
      </c>
      <c r="G175" s="8">
        <f t="shared" si="6"/>
        <v>2856</v>
      </c>
      <c r="H175" s="8">
        <f t="shared" si="7"/>
        <v>2184</v>
      </c>
      <c r="I175" s="8">
        <f t="shared" si="8"/>
        <v>672</v>
      </c>
      <c r="J175" s="7" t="s">
        <v>14</v>
      </c>
      <c r="K175" s="7" t="s">
        <v>36</v>
      </c>
      <c r="L175" s="10" t="s">
        <v>16</v>
      </c>
    </row>
    <row r="176" spans="1:12" x14ac:dyDescent="0.3">
      <c r="A176" s="6" t="s">
        <v>222</v>
      </c>
      <c r="B176" s="18">
        <v>46145</v>
      </c>
      <c r="C176" s="18" t="s">
        <v>51</v>
      </c>
      <c r="D176" s="7">
        <v>1</v>
      </c>
      <c r="E176" s="8">
        <v>2600</v>
      </c>
      <c r="F176" s="9">
        <v>0.15</v>
      </c>
      <c r="G176" s="8">
        <f t="shared" si="6"/>
        <v>2210</v>
      </c>
      <c r="H176" s="8">
        <f t="shared" si="7"/>
        <v>1690</v>
      </c>
      <c r="I176" s="8">
        <f t="shared" si="8"/>
        <v>520</v>
      </c>
      <c r="J176" s="7" t="s">
        <v>19</v>
      </c>
      <c r="K176" s="7" t="s">
        <v>34</v>
      </c>
      <c r="L176" s="10" t="s">
        <v>16</v>
      </c>
    </row>
    <row r="177" spans="1:12" x14ac:dyDescent="0.3">
      <c r="A177" s="6" t="s">
        <v>223</v>
      </c>
      <c r="B177" s="18">
        <v>45744</v>
      </c>
      <c r="C177" s="18" t="s">
        <v>51</v>
      </c>
      <c r="D177" s="7">
        <v>1</v>
      </c>
      <c r="E177" s="8">
        <v>2600</v>
      </c>
      <c r="F177" s="9">
        <v>0.05</v>
      </c>
      <c r="G177" s="8">
        <f t="shared" si="6"/>
        <v>2470</v>
      </c>
      <c r="H177" s="8">
        <f t="shared" si="7"/>
        <v>1690</v>
      </c>
      <c r="I177" s="8">
        <f t="shared" si="8"/>
        <v>780</v>
      </c>
      <c r="J177" s="7" t="s">
        <v>23</v>
      </c>
      <c r="K177" s="7" t="s">
        <v>72</v>
      </c>
      <c r="L177" s="10" t="s">
        <v>16</v>
      </c>
    </row>
    <row r="178" spans="1:12" x14ac:dyDescent="0.3">
      <c r="A178" s="6" t="s">
        <v>224</v>
      </c>
      <c r="B178" s="18">
        <v>46193</v>
      </c>
      <c r="C178" s="18" t="s">
        <v>18</v>
      </c>
      <c r="D178" s="7">
        <v>6</v>
      </c>
      <c r="E178" s="8">
        <v>1800</v>
      </c>
      <c r="F178" s="9">
        <v>0.1</v>
      </c>
      <c r="G178" s="8">
        <f t="shared" si="6"/>
        <v>9720</v>
      </c>
      <c r="H178" s="8">
        <f t="shared" si="7"/>
        <v>7020</v>
      </c>
      <c r="I178" s="8">
        <f t="shared" si="8"/>
        <v>2700</v>
      </c>
      <c r="J178" s="7" t="s">
        <v>27</v>
      </c>
      <c r="K178" s="7" t="s">
        <v>52</v>
      </c>
      <c r="L178" s="10" t="s">
        <v>25</v>
      </c>
    </row>
    <row r="179" spans="1:12" x14ac:dyDescent="0.3">
      <c r="A179" s="6" t="s">
        <v>225</v>
      </c>
      <c r="B179" s="18">
        <v>46004</v>
      </c>
      <c r="C179" s="18" t="s">
        <v>18</v>
      </c>
      <c r="D179" s="7">
        <v>6</v>
      </c>
      <c r="E179" s="8">
        <v>1710</v>
      </c>
      <c r="F179" s="9">
        <v>0</v>
      </c>
      <c r="G179" s="8">
        <f t="shared" si="6"/>
        <v>10260</v>
      </c>
      <c r="H179" s="8">
        <f t="shared" si="7"/>
        <v>6669</v>
      </c>
      <c r="I179" s="8">
        <f t="shared" si="8"/>
        <v>3591</v>
      </c>
      <c r="J179" s="7" t="s">
        <v>27</v>
      </c>
      <c r="K179" s="7" t="s">
        <v>49</v>
      </c>
      <c r="L179" s="10" t="s">
        <v>16</v>
      </c>
    </row>
    <row r="180" spans="1:12" x14ac:dyDescent="0.3">
      <c r="A180" s="6" t="s">
        <v>226</v>
      </c>
      <c r="B180" s="18">
        <v>46053</v>
      </c>
      <c r="C180" s="18" t="s">
        <v>60</v>
      </c>
      <c r="D180" s="7">
        <v>3</v>
      </c>
      <c r="E180" s="8">
        <v>2200</v>
      </c>
      <c r="F180" s="9">
        <v>0.1</v>
      </c>
      <c r="G180" s="8">
        <f t="shared" si="6"/>
        <v>5940</v>
      </c>
      <c r="H180" s="8">
        <f t="shared" si="7"/>
        <v>4290</v>
      </c>
      <c r="I180" s="8">
        <f t="shared" si="8"/>
        <v>1650</v>
      </c>
      <c r="J180" s="7" t="s">
        <v>19</v>
      </c>
      <c r="K180" s="7" t="s">
        <v>20</v>
      </c>
      <c r="L180" s="10" t="s">
        <v>25</v>
      </c>
    </row>
    <row r="181" spans="1:12" x14ac:dyDescent="0.3">
      <c r="A181" s="6" t="s">
        <v>227</v>
      </c>
      <c r="B181" s="18">
        <v>45975</v>
      </c>
      <c r="C181" s="18" t="s">
        <v>43</v>
      </c>
      <c r="D181" s="7">
        <v>2</v>
      </c>
      <c r="E181" s="8">
        <v>3200</v>
      </c>
      <c r="F181" s="9">
        <v>0.1</v>
      </c>
      <c r="G181" s="8">
        <f t="shared" si="6"/>
        <v>5760</v>
      </c>
      <c r="H181" s="8">
        <f t="shared" si="7"/>
        <v>4160</v>
      </c>
      <c r="I181" s="8">
        <f t="shared" si="8"/>
        <v>1600</v>
      </c>
      <c r="J181" s="7" t="s">
        <v>23</v>
      </c>
      <c r="K181" s="7" t="s">
        <v>66</v>
      </c>
      <c r="L181" s="10" t="s">
        <v>21</v>
      </c>
    </row>
    <row r="182" spans="1:12" x14ac:dyDescent="0.3">
      <c r="A182" s="6" t="s">
        <v>228</v>
      </c>
      <c r="B182" s="18">
        <v>46197</v>
      </c>
      <c r="C182" s="18" t="s">
        <v>30</v>
      </c>
      <c r="D182" s="7">
        <v>6</v>
      </c>
      <c r="E182" s="8">
        <v>682.5</v>
      </c>
      <c r="F182" s="9">
        <v>0</v>
      </c>
      <c r="G182" s="8">
        <f t="shared" si="6"/>
        <v>4095</v>
      </c>
      <c r="H182" s="8">
        <f t="shared" si="7"/>
        <v>2661.75</v>
      </c>
      <c r="I182" s="8">
        <f t="shared" si="8"/>
        <v>1433.25</v>
      </c>
      <c r="J182" s="7" t="s">
        <v>27</v>
      </c>
      <c r="K182" s="7" t="s">
        <v>31</v>
      </c>
      <c r="L182" s="10" t="s">
        <v>21</v>
      </c>
    </row>
    <row r="183" spans="1:12" x14ac:dyDescent="0.3">
      <c r="A183" s="6" t="s">
        <v>229</v>
      </c>
      <c r="B183" s="18">
        <v>45877</v>
      </c>
      <c r="C183" s="18" t="s">
        <v>661</v>
      </c>
      <c r="D183" s="7">
        <v>4</v>
      </c>
      <c r="E183" s="8">
        <v>735</v>
      </c>
      <c r="F183" s="9">
        <v>0.05</v>
      </c>
      <c r="G183" s="8">
        <f t="shared" si="6"/>
        <v>2793</v>
      </c>
      <c r="H183" s="8">
        <f t="shared" si="7"/>
        <v>1911</v>
      </c>
      <c r="I183" s="8">
        <f t="shared" si="8"/>
        <v>882</v>
      </c>
      <c r="J183" s="7" t="s">
        <v>14</v>
      </c>
      <c r="K183" s="7" t="s">
        <v>40</v>
      </c>
      <c r="L183" s="10" t="s">
        <v>21</v>
      </c>
    </row>
    <row r="184" spans="1:12" x14ac:dyDescent="0.3">
      <c r="A184" s="6" t="s">
        <v>230</v>
      </c>
      <c r="B184" s="18">
        <v>45960</v>
      </c>
      <c r="C184" s="18" t="s">
        <v>30</v>
      </c>
      <c r="D184" s="7">
        <v>6</v>
      </c>
      <c r="E184" s="8">
        <v>617.5</v>
      </c>
      <c r="F184" s="9">
        <v>0.2</v>
      </c>
      <c r="G184" s="8">
        <f t="shared" si="6"/>
        <v>2964</v>
      </c>
      <c r="H184" s="8">
        <f t="shared" si="7"/>
        <v>2408.25</v>
      </c>
      <c r="I184" s="8">
        <f t="shared" si="8"/>
        <v>555.75</v>
      </c>
      <c r="J184" s="7" t="s">
        <v>14</v>
      </c>
      <c r="K184" s="7" t="s">
        <v>47</v>
      </c>
      <c r="L184" s="10" t="s">
        <v>21</v>
      </c>
    </row>
    <row r="185" spans="1:12" x14ac:dyDescent="0.3">
      <c r="A185" s="6" t="s">
        <v>231</v>
      </c>
      <c r="B185" s="18">
        <v>45824</v>
      </c>
      <c r="C185" s="18" t="s">
        <v>88</v>
      </c>
      <c r="D185" s="7">
        <v>8</v>
      </c>
      <c r="E185" s="8">
        <v>1500</v>
      </c>
      <c r="F185" s="9">
        <v>0</v>
      </c>
      <c r="G185" s="8">
        <f t="shared" si="6"/>
        <v>12000</v>
      </c>
      <c r="H185" s="8">
        <f t="shared" si="7"/>
        <v>7800</v>
      </c>
      <c r="I185" s="8">
        <f t="shared" si="8"/>
        <v>4200</v>
      </c>
      <c r="J185" s="7" t="s">
        <v>23</v>
      </c>
      <c r="K185" s="7" t="s">
        <v>66</v>
      </c>
      <c r="L185" s="10" t="s">
        <v>16</v>
      </c>
    </row>
    <row r="186" spans="1:12" x14ac:dyDescent="0.3">
      <c r="A186" s="6" t="s">
        <v>232</v>
      </c>
      <c r="B186" s="18">
        <v>45901</v>
      </c>
      <c r="C186" s="18" t="s">
        <v>56</v>
      </c>
      <c r="D186" s="7">
        <v>8</v>
      </c>
      <c r="E186" s="8">
        <v>9800</v>
      </c>
      <c r="F186" s="9">
        <v>0.05</v>
      </c>
      <c r="G186" s="8">
        <f t="shared" si="6"/>
        <v>74480</v>
      </c>
      <c r="H186" s="8">
        <f t="shared" si="7"/>
        <v>50960</v>
      </c>
      <c r="I186" s="8">
        <f t="shared" si="8"/>
        <v>23520</v>
      </c>
      <c r="J186" s="7" t="s">
        <v>14</v>
      </c>
      <c r="K186" s="7" t="s">
        <v>36</v>
      </c>
      <c r="L186" s="10" t="s">
        <v>25</v>
      </c>
    </row>
    <row r="187" spans="1:12" x14ac:dyDescent="0.3">
      <c r="A187" s="6" t="s">
        <v>233</v>
      </c>
      <c r="B187" s="18">
        <v>45856</v>
      </c>
      <c r="C187" s="18" t="s">
        <v>661</v>
      </c>
      <c r="D187" s="7">
        <v>8</v>
      </c>
      <c r="E187" s="8">
        <v>735</v>
      </c>
      <c r="F187" s="9">
        <v>0.1</v>
      </c>
      <c r="G187" s="8">
        <f t="shared" si="6"/>
        <v>5292</v>
      </c>
      <c r="H187" s="8">
        <f t="shared" si="7"/>
        <v>3822</v>
      </c>
      <c r="I187" s="8">
        <f t="shared" si="8"/>
        <v>1470</v>
      </c>
      <c r="J187" s="7" t="s">
        <v>23</v>
      </c>
      <c r="K187" s="7" t="s">
        <v>72</v>
      </c>
      <c r="L187" s="10" t="s">
        <v>21</v>
      </c>
    </row>
    <row r="188" spans="1:12" x14ac:dyDescent="0.3">
      <c r="A188" s="6" t="s">
        <v>234</v>
      </c>
      <c r="B188" s="18">
        <v>45862</v>
      </c>
      <c r="C188" s="18" t="s">
        <v>18</v>
      </c>
      <c r="D188" s="7">
        <v>5</v>
      </c>
      <c r="E188" s="8">
        <v>1800</v>
      </c>
      <c r="F188" s="9">
        <v>0</v>
      </c>
      <c r="G188" s="8">
        <f t="shared" si="6"/>
        <v>9000</v>
      </c>
      <c r="H188" s="8">
        <f t="shared" si="7"/>
        <v>5850</v>
      </c>
      <c r="I188" s="8">
        <f t="shared" si="8"/>
        <v>3150</v>
      </c>
      <c r="J188" s="7" t="s">
        <v>23</v>
      </c>
      <c r="K188" s="7" t="s">
        <v>66</v>
      </c>
      <c r="L188" s="10" t="s">
        <v>16</v>
      </c>
    </row>
    <row r="189" spans="1:12" x14ac:dyDescent="0.3">
      <c r="A189" s="6" t="s">
        <v>235</v>
      </c>
      <c r="B189" s="18">
        <v>45763</v>
      </c>
      <c r="C189" s="18" t="s">
        <v>51</v>
      </c>
      <c r="D189" s="7">
        <v>5</v>
      </c>
      <c r="E189" s="8">
        <v>2470</v>
      </c>
      <c r="F189" s="9">
        <v>0</v>
      </c>
      <c r="G189" s="8">
        <f t="shared" si="6"/>
        <v>12350</v>
      </c>
      <c r="H189" s="8">
        <f t="shared" si="7"/>
        <v>8027.5</v>
      </c>
      <c r="I189" s="8">
        <f t="shared" si="8"/>
        <v>4322.5</v>
      </c>
      <c r="J189" s="7" t="s">
        <v>14</v>
      </c>
      <c r="K189" s="7" t="s">
        <v>36</v>
      </c>
      <c r="L189" s="10" t="s">
        <v>25</v>
      </c>
    </row>
    <row r="190" spans="1:12" x14ac:dyDescent="0.3">
      <c r="A190" s="6" t="s">
        <v>236</v>
      </c>
      <c r="B190" s="18">
        <v>46183</v>
      </c>
      <c r="C190" s="18" t="s">
        <v>88</v>
      </c>
      <c r="D190" s="7">
        <v>2</v>
      </c>
      <c r="E190" s="8">
        <v>1575</v>
      </c>
      <c r="F190" s="9">
        <v>0.05</v>
      </c>
      <c r="G190" s="8">
        <f t="shared" si="6"/>
        <v>2992.5</v>
      </c>
      <c r="H190" s="8">
        <f t="shared" si="7"/>
        <v>2047.5</v>
      </c>
      <c r="I190" s="8">
        <f t="shared" si="8"/>
        <v>945</v>
      </c>
      <c r="J190" s="7" t="s">
        <v>23</v>
      </c>
      <c r="K190" s="7" t="s">
        <v>66</v>
      </c>
      <c r="L190" s="10" t="s">
        <v>21</v>
      </c>
    </row>
    <row r="191" spans="1:12" x14ac:dyDescent="0.3">
      <c r="A191" s="6" t="s">
        <v>237</v>
      </c>
      <c r="B191" s="18">
        <v>46082</v>
      </c>
      <c r="C191" s="18" t="s">
        <v>13</v>
      </c>
      <c r="D191" s="7">
        <v>6</v>
      </c>
      <c r="E191" s="8">
        <v>54600</v>
      </c>
      <c r="F191" s="9">
        <v>0.05</v>
      </c>
      <c r="G191" s="8">
        <f t="shared" si="6"/>
        <v>311220</v>
      </c>
      <c r="H191" s="8">
        <f t="shared" si="7"/>
        <v>212940</v>
      </c>
      <c r="I191" s="8">
        <f t="shared" si="8"/>
        <v>98280</v>
      </c>
      <c r="J191" s="7" t="s">
        <v>23</v>
      </c>
      <c r="K191" s="7" t="s">
        <v>61</v>
      </c>
      <c r="L191" s="10" t="s">
        <v>25</v>
      </c>
    </row>
    <row r="192" spans="1:12" x14ac:dyDescent="0.3">
      <c r="A192" s="6" t="s">
        <v>238</v>
      </c>
      <c r="B192" s="18">
        <v>45887</v>
      </c>
      <c r="C192" s="18" t="s">
        <v>13</v>
      </c>
      <c r="D192" s="7">
        <v>2</v>
      </c>
      <c r="E192" s="8">
        <v>52000</v>
      </c>
      <c r="F192" s="9">
        <v>0.1</v>
      </c>
      <c r="G192" s="8">
        <f t="shared" si="6"/>
        <v>93600</v>
      </c>
      <c r="H192" s="8">
        <f t="shared" si="7"/>
        <v>67600</v>
      </c>
      <c r="I192" s="8">
        <f t="shared" si="8"/>
        <v>26000</v>
      </c>
      <c r="J192" s="7" t="s">
        <v>14</v>
      </c>
      <c r="K192" s="7" t="s">
        <v>40</v>
      </c>
      <c r="L192" s="10" t="s">
        <v>21</v>
      </c>
    </row>
    <row r="193" spans="1:12" x14ac:dyDescent="0.3">
      <c r="A193" s="6" t="s">
        <v>239</v>
      </c>
      <c r="B193" s="18">
        <v>45951</v>
      </c>
      <c r="C193" s="18" t="s">
        <v>56</v>
      </c>
      <c r="D193" s="7">
        <v>8</v>
      </c>
      <c r="E193" s="8">
        <v>9800</v>
      </c>
      <c r="F193" s="9">
        <v>0.15</v>
      </c>
      <c r="G193" s="8">
        <f t="shared" si="6"/>
        <v>66640</v>
      </c>
      <c r="H193" s="8">
        <f t="shared" si="7"/>
        <v>50960</v>
      </c>
      <c r="I193" s="8">
        <f t="shared" si="8"/>
        <v>15680</v>
      </c>
      <c r="J193" s="7" t="s">
        <v>19</v>
      </c>
      <c r="K193" s="7" t="s">
        <v>70</v>
      </c>
      <c r="L193" s="10" t="s">
        <v>21</v>
      </c>
    </row>
    <row r="194" spans="1:12" x14ac:dyDescent="0.3">
      <c r="A194" s="6" t="s">
        <v>240</v>
      </c>
      <c r="B194" s="18">
        <v>45920</v>
      </c>
      <c r="C194" s="18" t="s">
        <v>39</v>
      </c>
      <c r="D194" s="7">
        <v>7</v>
      </c>
      <c r="E194" s="8">
        <v>12500</v>
      </c>
      <c r="F194" s="9">
        <v>0</v>
      </c>
      <c r="G194" s="8">
        <f t="shared" si="6"/>
        <v>87500</v>
      </c>
      <c r="H194" s="8">
        <f t="shared" si="7"/>
        <v>56875</v>
      </c>
      <c r="I194" s="8">
        <f t="shared" si="8"/>
        <v>30625</v>
      </c>
      <c r="J194" s="7" t="s">
        <v>27</v>
      </c>
      <c r="K194" s="7" t="s">
        <v>28</v>
      </c>
      <c r="L194" s="10" t="s">
        <v>25</v>
      </c>
    </row>
    <row r="195" spans="1:12" x14ac:dyDescent="0.3">
      <c r="A195" s="6" t="s">
        <v>241</v>
      </c>
      <c r="B195" s="18">
        <v>45782</v>
      </c>
      <c r="C195" s="18" t="s">
        <v>13</v>
      </c>
      <c r="D195" s="7">
        <v>7</v>
      </c>
      <c r="E195" s="8">
        <v>52000</v>
      </c>
      <c r="F195" s="9">
        <v>0.2</v>
      </c>
      <c r="G195" s="8">
        <f t="shared" ref="G195:G258" si="9">D195*E195*(1-F195)</f>
        <v>291200</v>
      </c>
      <c r="H195" s="8">
        <f t="shared" ref="H195:H258" si="10">D195*E195*65%</f>
        <v>236600</v>
      </c>
      <c r="I195" s="8">
        <f t="shared" ref="I195:I258" si="11">G195-H195</f>
        <v>54600</v>
      </c>
      <c r="J195" s="7" t="s">
        <v>23</v>
      </c>
      <c r="K195" s="7" t="s">
        <v>61</v>
      </c>
      <c r="L195" s="10" t="s">
        <v>21</v>
      </c>
    </row>
    <row r="196" spans="1:12" x14ac:dyDescent="0.3">
      <c r="A196" s="6" t="s">
        <v>242</v>
      </c>
      <c r="B196" s="18">
        <v>46169</v>
      </c>
      <c r="C196" s="18" t="s">
        <v>18</v>
      </c>
      <c r="D196" s="7">
        <v>4</v>
      </c>
      <c r="E196" s="8">
        <v>1710</v>
      </c>
      <c r="F196" s="9">
        <v>0.05</v>
      </c>
      <c r="G196" s="8">
        <f t="shared" si="9"/>
        <v>6498</v>
      </c>
      <c r="H196" s="8">
        <f t="shared" si="10"/>
        <v>4446</v>
      </c>
      <c r="I196" s="8">
        <f t="shared" si="11"/>
        <v>2052</v>
      </c>
      <c r="J196" s="7" t="s">
        <v>27</v>
      </c>
      <c r="K196" s="7" t="s">
        <v>52</v>
      </c>
      <c r="L196" s="10" t="s">
        <v>21</v>
      </c>
    </row>
    <row r="197" spans="1:12" x14ac:dyDescent="0.3">
      <c r="A197" s="6" t="s">
        <v>243</v>
      </c>
      <c r="B197" s="18">
        <v>46019</v>
      </c>
      <c r="C197" s="18" t="s">
        <v>39</v>
      </c>
      <c r="D197" s="7">
        <v>3</v>
      </c>
      <c r="E197" s="8">
        <v>13125</v>
      </c>
      <c r="F197" s="9">
        <v>0</v>
      </c>
      <c r="G197" s="8">
        <f t="shared" si="9"/>
        <v>39375</v>
      </c>
      <c r="H197" s="8">
        <f t="shared" si="10"/>
        <v>25593.75</v>
      </c>
      <c r="I197" s="8">
        <f t="shared" si="11"/>
        <v>13781.25</v>
      </c>
      <c r="J197" s="7" t="s">
        <v>27</v>
      </c>
      <c r="K197" s="7" t="s">
        <v>49</v>
      </c>
      <c r="L197" s="10" t="s">
        <v>16</v>
      </c>
    </row>
    <row r="198" spans="1:12" x14ac:dyDescent="0.3">
      <c r="A198" s="6" t="s">
        <v>244</v>
      </c>
      <c r="B198" s="18">
        <v>46177</v>
      </c>
      <c r="C198" s="18" t="s">
        <v>51</v>
      </c>
      <c r="D198" s="7">
        <v>7</v>
      </c>
      <c r="E198" s="8">
        <v>2470</v>
      </c>
      <c r="F198" s="9">
        <v>0.15</v>
      </c>
      <c r="G198" s="8">
        <f t="shared" si="9"/>
        <v>14696.5</v>
      </c>
      <c r="H198" s="8">
        <f t="shared" si="10"/>
        <v>11238.5</v>
      </c>
      <c r="I198" s="8">
        <f t="shared" si="11"/>
        <v>3458</v>
      </c>
      <c r="J198" s="7" t="s">
        <v>19</v>
      </c>
      <c r="K198" s="7" t="s">
        <v>79</v>
      </c>
      <c r="L198" s="10" t="s">
        <v>25</v>
      </c>
    </row>
    <row r="199" spans="1:12" x14ac:dyDescent="0.3">
      <c r="A199" s="6" t="s">
        <v>245</v>
      </c>
      <c r="B199" s="18">
        <v>45917</v>
      </c>
      <c r="C199" s="18" t="s">
        <v>13</v>
      </c>
      <c r="D199" s="7">
        <v>2</v>
      </c>
      <c r="E199" s="8">
        <v>52000</v>
      </c>
      <c r="F199" s="9">
        <v>0.1</v>
      </c>
      <c r="G199" s="8">
        <f t="shared" si="9"/>
        <v>93600</v>
      </c>
      <c r="H199" s="8">
        <f t="shared" si="10"/>
        <v>67600</v>
      </c>
      <c r="I199" s="8">
        <f t="shared" si="11"/>
        <v>26000</v>
      </c>
      <c r="J199" s="7" t="s">
        <v>14</v>
      </c>
      <c r="K199" s="7" t="s">
        <v>15</v>
      </c>
      <c r="L199" s="10" t="s">
        <v>16</v>
      </c>
    </row>
    <row r="200" spans="1:12" x14ac:dyDescent="0.3">
      <c r="A200" s="6" t="s">
        <v>246</v>
      </c>
      <c r="B200" s="18">
        <v>45998</v>
      </c>
      <c r="C200" s="18" t="s">
        <v>88</v>
      </c>
      <c r="D200" s="7">
        <v>6</v>
      </c>
      <c r="E200" s="8">
        <v>1425</v>
      </c>
      <c r="F200" s="9">
        <v>0.2</v>
      </c>
      <c r="G200" s="8">
        <f t="shared" si="9"/>
        <v>6840</v>
      </c>
      <c r="H200" s="8">
        <f t="shared" si="10"/>
        <v>5557.5</v>
      </c>
      <c r="I200" s="8">
        <f t="shared" si="11"/>
        <v>1282.5</v>
      </c>
      <c r="J200" s="7" t="s">
        <v>27</v>
      </c>
      <c r="K200" s="7" t="s">
        <v>28</v>
      </c>
      <c r="L200" s="10" t="s">
        <v>16</v>
      </c>
    </row>
    <row r="201" spans="1:12" x14ac:dyDescent="0.3">
      <c r="A201" s="6" t="s">
        <v>247</v>
      </c>
      <c r="B201" s="18">
        <v>46133</v>
      </c>
      <c r="C201" s="18" t="s">
        <v>56</v>
      </c>
      <c r="D201" s="7">
        <v>3</v>
      </c>
      <c r="E201" s="8">
        <v>9800</v>
      </c>
      <c r="F201" s="9">
        <v>0</v>
      </c>
      <c r="G201" s="8">
        <f t="shared" si="9"/>
        <v>29400</v>
      </c>
      <c r="H201" s="8">
        <f t="shared" si="10"/>
        <v>19110</v>
      </c>
      <c r="I201" s="8">
        <f t="shared" si="11"/>
        <v>10290</v>
      </c>
      <c r="J201" s="7" t="s">
        <v>23</v>
      </c>
      <c r="K201" s="7" t="s">
        <v>61</v>
      </c>
      <c r="L201" s="10" t="s">
        <v>25</v>
      </c>
    </row>
    <row r="202" spans="1:12" x14ac:dyDescent="0.3">
      <c r="A202" s="6" t="s">
        <v>248</v>
      </c>
      <c r="B202" s="18">
        <v>45864</v>
      </c>
      <c r="C202" s="18" t="s">
        <v>13</v>
      </c>
      <c r="D202" s="7">
        <v>1</v>
      </c>
      <c r="E202" s="8">
        <v>52000</v>
      </c>
      <c r="F202" s="9">
        <v>0.1</v>
      </c>
      <c r="G202" s="8">
        <f t="shared" si="9"/>
        <v>46800</v>
      </c>
      <c r="H202" s="8">
        <f t="shared" si="10"/>
        <v>33800</v>
      </c>
      <c r="I202" s="8">
        <f t="shared" si="11"/>
        <v>13000</v>
      </c>
      <c r="J202" s="7" t="s">
        <v>27</v>
      </c>
      <c r="K202" s="7" t="s">
        <v>52</v>
      </c>
      <c r="L202" s="10" t="s">
        <v>16</v>
      </c>
    </row>
    <row r="203" spans="1:12" x14ac:dyDescent="0.3">
      <c r="A203" s="6" t="s">
        <v>249</v>
      </c>
      <c r="B203" s="18">
        <v>46142</v>
      </c>
      <c r="C203" s="18" t="s">
        <v>60</v>
      </c>
      <c r="D203" s="7">
        <v>4</v>
      </c>
      <c r="E203" s="8">
        <v>2090</v>
      </c>
      <c r="F203" s="9">
        <v>0.1</v>
      </c>
      <c r="G203" s="8">
        <f t="shared" si="9"/>
        <v>7524</v>
      </c>
      <c r="H203" s="8">
        <f t="shared" si="10"/>
        <v>5434</v>
      </c>
      <c r="I203" s="8">
        <f t="shared" si="11"/>
        <v>2090</v>
      </c>
      <c r="J203" s="7" t="s">
        <v>27</v>
      </c>
      <c r="K203" s="7" t="s">
        <v>49</v>
      </c>
      <c r="L203" s="10" t="s">
        <v>16</v>
      </c>
    </row>
    <row r="204" spans="1:12" x14ac:dyDescent="0.3">
      <c r="A204" s="6" t="s">
        <v>250</v>
      </c>
      <c r="B204" s="18">
        <v>45997</v>
      </c>
      <c r="C204" s="18" t="s">
        <v>60</v>
      </c>
      <c r="D204" s="7">
        <v>6</v>
      </c>
      <c r="E204" s="8">
        <v>2090</v>
      </c>
      <c r="F204" s="9">
        <v>0.15</v>
      </c>
      <c r="G204" s="8">
        <f t="shared" si="9"/>
        <v>10659</v>
      </c>
      <c r="H204" s="8">
        <f t="shared" si="10"/>
        <v>8151</v>
      </c>
      <c r="I204" s="8">
        <f t="shared" si="11"/>
        <v>2508</v>
      </c>
      <c r="J204" s="7" t="s">
        <v>23</v>
      </c>
      <c r="K204" s="7" t="s">
        <v>72</v>
      </c>
      <c r="L204" s="10" t="s">
        <v>25</v>
      </c>
    </row>
    <row r="205" spans="1:12" x14ac:dyDescent="0.3">
      <c r="A205" s="6" t="s">
        <v>251</v>
      </c>
      <c r="B205" s="18">
        <v>46005</v>
      </c>
      <c r="C205" s="18" t="s">
        <v>88</v>
      </c>
      <c r="D205" s="7">
        <v>8</v>
      </c>
      <c r="E205" s="8">
        <v>1575</v>
      </c>
      <c r="F205" s="9">
        <v>0.1</v>
      </c>
      <c r="G205" s="8">
        <f t="shared" si="9"/>
        <v>11340</v>
      </c>
      <c r="H205" s="8">
        <f t="shared" si="10"/>
        <v>8190</v>
      </c>
      <c r="I205" s="8">
        <f t="shared" si="11"/>
        <v>3150</v>
      </c>
      <c r="J205" s="7" t="s">
        <v>27</v>
      </c>
      <c r="K205" s="7" t="s">
        <v>49</v>
      </c>
      <c r="L205" s="10" t="s">
        <v>16</v>
      </c>
    </row>
    <row r="206" spans="1:12" x14ac:dyDescent="0.3">
      <c r="A206" s="6" t="s">
        <v>252</v>
      </c>
      <c r="B206" s="18">
        <v>46092</v>
      </c>
      <c r="C206" s="18" t="s">
        <v>30</v>
      </c>
      <c r="D206" s="7">
        <v>3</v>
      </c>
      <c r="E206" s="8">
        <v>682.5</v>
      </c>
      <c r="F206" s="9">
        <v>0.2</v>
      </c>
      <c r="G206" s="8">
        <f t="shared" si="9"/>
        <v>1638</v>
      </c>
      <c r="H206" s="8">
        <f t="shared" si="10"/>
        <v>1330.875</v>
      </c>
      <c r="I206" s="8">
        <f t="shared" si="11"/>
        <v>307.125</v>
      </c>
      <c r="J206" s="7" t="s">
        <v>27</v>
      </c>
      <c r="K206" s="7" t="s">
        <v>31</v>
      </c>
      <c r="L206" s="10" t="s">
        <v>21</v>
      </c>
    </row>
    <row r="207" spans="1:12" x14ac:dyDescent="0.3">
      <c r="A207" s="6" t="s">
        <v>253</v>
      </c>
      <c r="B207" s="18">
        <v>45739</v>
      </c>
      <c r="C207" s="18" t="s">
        <v>661</v>
      </c>
      <c r="D207" s="7">
        <v>5</v>
      </c>
      <c r="E207" s="8">
        <v>700</v>
      </c>
      <c r="F207" s="9">
        <v>0.15</v>
      </c>
      <c r="G207" s="8">
        <f t="shared" si="9"/>
        <v>2975</v>
      </c>
      <c r="H207" s="8">
        <f t="shared" si="10"/>
        <v>2275</v>
      </c>
      <c r="I207" s="8">
        <f t="shared" si="11"/>
        <v>700</v>
      </c>
      <c r="J207" s="7" t="s">
        <v>23</v>
      </c>
      <c r="K207" s="7" t="s">
        <v>24</v>
      </c>
      <c r="L207" s="10" t="s">
        <v>16</v>
      </c>
    </row>
    <row r="208" spans="1:12" x14ac:dyDescent="0.3">
      <c r="A208" s="6" t="s">
        <v>254</v>
      </c>
      <c r="B208" s="18">
        <v>46112</v>
      </c>
      <c r="C208" s="18" t="s">
        <v>661</v>
      </c>
      <c r="D208" s="7">
        <v>1</v>
      </c>
      <c r="E208" s="8">
        <v>735</v>
      </c>
      <c r="F208" s="9">
        <v>0.1</v>
      </c>
      <c r="G208" s="8">
        <f t="shared" si="9"/>
        <v>661.5</v>
      </c>
      <c r="H208" s="8">
        <f t="shared" si="10"/>
        <v>477.75</v>
      </c>
      <c r="I208" s="8">
        <f t="shared" si="11"/>
        <v>183.75</v>
      </c>
      <c r="J208" s="7" t="s">
        <v>23</v>
      </c>
      <c r="K208" s="7" t="s">
        <v>66</v>
      </c>
      <c r="L208" s="10" t="s">
        <v>16</v>
      </c>
    </row>
    <row r="209" spans="1:12" x14ac:dyDescent="0.3">
      <c r="A209" s="6" t="s">
        <v>255</v>
      </c>
      <c r="B209" s="18">
        <v>45716</v>
      </c>
      <c r="C209" s="18" t="s">
        <v>30</v>
      </c>
      <c r="D209" s="7">
        <v>6</v>
      </c>
      <c r="E209" s="8">
        <v>682.5</v>
      </c>
      <c r="F209" s="9">
        <v>0.2</v>
      </c>
      <c r="G209" s="8">
        <f t="shared" si="9"/>
        <v>3276</v>
      </c>
      <c r="H209" s="8">
        <f t="shared" si="10"/>
        <v>2661.75</v>
      </c>
      <c r="I209" s="8">
        <f t="shared" si="11"/>
        <v>614.25</v>
      </c>
      <c r="J209" s="7" t="s">
        <v>14</v>
      </c>
      <c r="K209" s="7" t="s">
        <v>15</v>
      </c>
      <c r="L209" s="10" t="s">
        <v>21</v>
      </c>
    </row>
    <row r="210" spans="1:12" x14ac:dyDescent="0.3">
      <c r="A210" s="6" t="s">
        <v>256</v>
      </c>
      <c r="B210" s="18">
        <v>46106</v>
      </c>
      <c r="C210" s="18" t="s">
        <v>13</v>
      </c>
      <c r="D210" s="7">
        <v>2</v>
      </c>
      <c r="E210" s="8">
        <v>52000</v>
      </c>
      <c r="F210" s="9">
        <v>0.05</v>
      </c>
      <c r="G210" s="8">
        <f t="shared" si="9"/>
        <v>98800</v>
      </c>
      <c r="H210" s="8">
        <f t="shared" si="10"/>
        <v>67600</v>
      </c>
      <c r="I210" s="8">
        <f t="shared" si="11"/>
        <v>31200</v>
      </c>
      <c r="J210" s="7" t="s">
        <v>27</v>
      </c>
      <c r="K210" s="7" t="s">
        <v>31</v>
      </c>
      <c r="L210" s="10" t="s">
        <v>25</v>
      </c>
    </row>
    <row r="211" spans="1:12" x14ac:dyDescent="0.3">
      <c r="A211" s="6" t="s">
        <v>257</v>
      </c>
      <c r="B211" s="18">
        <v>45691</v>
      </c>
      <c r="C211" s="18" t="s">
        <v>18</v>
      </c>
      <c r="D211" s="7">
        <v>8</v>
      </c>
      <c r="E211" s="8">
        <v>1800</v>
      </c>
      <c r="F211" s="9">
        <v>0.1</v>
      </c>
      <c r="G211" s="8">
        <f t="shared" si="9"/>
        <v>12960</v>
      </c>
      <c r="H211" s="8">
        <f t="shared" si="10"/>
        <v>9360</v>
      </c>
      <c r="I211" s="8">
        <f t="shared" si="11"/>
        <v>3600</v>
      </c>
      <c r="J211" s="7" t="s">
        <v>27</v>
      </c>
      <c r="K211" s="7" t="s">
        <v>52</v>
      </c>
      <c r="L211" s="10" t="s">
        <v>21</v>
      </c>
    </row>
    <row r="212" spans="1:12" x14ac:dyDescent="0.3">
      <c r="A212" s="6" t="s">
        <v>258</v>
      </c>
      <c r="B212" s="18">
        <v>45798</v>
      </c>
      <c r="C212" s="18" t="s">
        <v>51</v>
      </c>
      <c r="D212" s="7">
        <v>7</v>
      </c>
      <c r="E212" s="8">
        <v>2600</v>
      </c>
      <c r="F212" s="9">
        <v>0.1</v>
      </c>
      <c r="G212" s="8">
        <f t="shared" si="9"/>
        <v>16380</v>
      </c>
      <c r="H212" s="8">
        <f t="shared" si="10"/>
        <v>11830</v>
      </c>
      <c r="I212" s="8">
        <f t="shared" si="11"/>
        <v>4550</v>
      </c>
      <c r="J212" s="7" t="s">
        <v>27</v>
      </c>
      <c r="K212" s="7" t="s">
        <v>28</v>
      </c>
      <c r="L212" s="10" t="s">
        <v>21</v>
      </c>
    </row>
    <row r="213" spans="1:12" x14ac:dyDescent="0.3">
      <c r="A213" s="6" t="s">
        <v>259</v>
      </c>
      <c r="B213" s="18">
        <v>45684</v>
      </c>
      <c r="C213" s="18" t="s">
        <v>88</v>
      </c>
      <c r="D213" s="7">
        <v>7</v>
      </c>
      <c r="E213" s="8">
        <v>1575</v>
      </c>
      <c r="F213" s="9">
        <v>0.2</v>
      </c>
      <c r="G213" s="8">
        <f t="shared" si="9"/>
        <v>8820</v>
      </c>
      <c r="H213" s="8">
        <f t="shared" si="10"/>
        <v>7166.25</v>
      </c>
      <c r="I213" s="8">
        <f t="shared" si="11"/>
        <v>1653.75</v>
      </c>
      <c r="J213" s="7" t="s">
        <v>19</v>
      </c>
      <c r="K213" s="7" t="s">
        <v>34</v>
      </c>
      <c r="L213" s="10" t="s">
        <v>25</v>
      </c>
    </row>
    <row r="214" spans="1:12" x14ac:dyDescent="0.3">
      <c r="A214" s="6" t="s">
        <v>260</v>
      </c>
      <c r="B214" s="18">
        <v>46114</v>
      </c>
      <c r="C214" s="18" t="s">
        <v>39</v>
      </c>
      <c r="D214" s="7">
        <v>8</v>
      </c>
      <c r="E214" s="8">
        <v>12500</v>
      </c>
      <c r="F214" s="9">
        <v>0.05</v>
      </c>
      <c r="G214" s="8">
        <f t="shared" si="9"/>
        <v>95000</v>
      </c>
      <c r="H214" s="8">
        <f t="shared" si="10"/>
        <v>65000</v>
      </c>
      <c r="I214" s="8">
        <f t="shared" si="11"/>
        <v>30000</v>
      </c>
      <c r="J214" s="7" t="s">
        <v>19</v>
      </c>
      <c r="K214" s="7" t="s">
        <v>20</v>
      </c>
      <c r="L214" s="10" t="s">
        <v>21</v>
      </c>
    </row>
    <row r="215" spans="1:12" x14ac:dyDescent="0.3">
      <c r="A215" s="6" t="s">
        <v>261</v>
      </c>
      <c r="B215" s="18">
        <v>46120</v>
      </c>
      <c r="C215" s="18" t="s">
        <v>88</v>
      </c>
      <c r="D215" s="7">
        <v>2</v>
      </c>
      <c r="E215" s="8">
        <v>1575</v>
      </c>
      <c r="F215" s="9">
        <v>0.1</v>
      </c>
      <c r="G215" s="8">
        <f t="shared" si="9"/>
        <v>2835</v>
      </c>
      <c r="H215" s="8">
        <f t="shared" si="10"/>
        <v>2047.5</v>
      </c>
      <c r="I215" s="8">
        <f t="shared" si="11"/>
        <v>787.5</v>
      </c>
      <c r="J215" s="7" t="s">
        <v>27</v>
      </c>
      <c r="K215" s="7" t="s">
        <v>49</v>
      </c>
      <c r="L215" s="10" t="s">
        <v>16</v>
      </c>
    </row>
    <row r="216" spans="1:12" x14ac:dyDescent="0.3">
      <c r="A216" s="6" t="s">
        <v>262</v>
      </c>
      <c r="B216" s="18">
        <v>45955</v>
      </c>
      <c r="C216" s="18" t="s">
        <v>60</v>
      </c>
      <c r="D216" s="7">
        <v>3</v>
      </c>
      <c r="E216" s="8">
        <v>2200</v>
      </c>
      <c r="F216" s="9">
        <v>0.1</v>
      </c>
      <c r="G216" s="8">
        <f t="shared" si="9"/>
        <v>5940</v>
      </c>
      <c r="H216" s="8">
        <f t="shared" si="10"/>
        <v>4290</v>
      </c>
      <c r="I216" s="8">
        <f t="shared" si="11"/>
        <v>1650</v>
      </c>
      <c r="J216" s="7" t="s">
        <v>14</v>
      </c>
      <c r="K216" s="7" t="s">
        <v>15</v>
      </c>
      <c r="L216" s="10" t="s">
        <v>21</v>
      </c>
    </row>
    <row r="217" spans="1:12" x14ac:dyDescent="0.3">
      <c r="A217" s="6" t="s">
        <v>263</v>
      </c>
      <c r="B217" s="18">
        <v>45800</v>
      </c>
      <c r="C217" s="18" t="s">
        <v>39</v>
      </c>
      <c r="D217" s="7">
        <v>1</v>
      </c>
      <c r="E217" s="8">
        <v>13125</v>
      </c>
      <c r="F217" s="9">
        <v>0.1</v>
      </c>
      <c r="G217" s="8">
        <f t="shared" si="9"/>
        <v>11812.5</v>
      </c>
      <c r="H217" s="8">
        <f t="shared" si="10"/>
        <v>8531.25</v>
      </c>
      <c r="I217" s="8">
        <f t="shared" si="11"/>
        <v>3281.25</v>
      </c>
      <c r="J217" s="7" t="s">
        <v>27</v>
      </c>
      <c r="K217" s="7" t="s">
        <v>52</v>
      </c>
      <c r="L217" s="10" t="s">
        <v>16</v>
      </c>
    </row>
    <row r="218" spans="1:12" x14ac:dyDescent="0.3">
      <c r="A218" s="6" t="s">
        <v>264</v>
      </c>
      <c r="B218" s="18">
        <v>45790</v>
      </c>
      <c r="C218" s="18" t="s">
        <v>18</v>
      </c>
      <c r="D218" s="7">
        <v>2</v>
      </c>
      <c r="E218" s="8">
        <v>1710</v>
      </c>
      <c r="F218" s="9">
        <v>0.1</v>
      </c>
      <c r="G218" s="8">
        <f t="shared" si="9"/>
        <v>3078</v>
      </c>
      <c r="H218" s="8">
        <f t="shared" si="10"/>
        <v>2223</v>
      </c>
      <c r="I218" s="8">
        <f t="shared" si="11"/>
        <v>855</v>
      </c>
      <c r="J218" s="7" t="s">
        <v>23</v>
      </c>
      <c r="K218" s="7" t="s">
        <v>72</v>
      </c>
      <c r="L218" s="10" t="s">
        <v>16</v>
      </c>
    </row>
    <row r="219" spans="1:12" x14ac:dyDescent="0.3">
      <c r="A219" s="6" t="s">
        <v>265</v>
      </c>
      <c r="B219" s="18">
        <v>46078</v>
      </c>
      <c r="C219" s="18" t="s">
        <v>43</v>
      </c>
      <c r="D219" s="7">
        <v>3</v>
      </c>
      <c r="E219" s="8">
        <v>3040</v>
      </c>
      <c r="F219" s="9">
        <v>0.1</v>
      </c>
      <c r="G219" s="8">
        <f t="shared" si="9"/>
        <v>8208</v>
      </c>
      <c r="H219" s="8">
        <f t="shared" si="10"/>
        <v>5928</v>
      </c>
      <c r="I219" s="8">
        <f t="shared" si="11"/>
        <v>2280</v>
      </c>
      <c r="J219" s="7" t="s">
        <v>19</v>
      </c>
      <c r="K219" s="7" t="s">
        <v>79</v>
      </c>
      <c r="L219" s="10" t="s">
        <v>25</v>
      </c>
    </row>
    <row r="220" spans="1:12" x14ac:dyDescent="0.3">
      <c r="A220" s="6" t="s">
        <v>266</v>
      </c>
      <c r="B220" s="18">
        <v>46187</v>
      </c>
      <c r="C220" s="18" t="s">
        <v>661</v>
      </c>
      <c r="D220" s="7">
        <v>3</v>
      </c>
      <c r="E220" s="8">
        <v>700</v>
      </c>
      <c r="F220" s="9">
        <v>0.05</v>
      </c>
      <c r="G220" s="8">
        <f t="shared" si="9"/>
        <v>1995</v>
      </c>
      <c r="H220" s="8">
        <f t="shared" si="10"/>
        <v>1365</v>
      </c>
      <c r="I220" s="8">
        <f t="shared" si="11"/>
        <v>630</v>
      </c>
      <c r="J220" s="7" t="s">
        <v>23</v>
      </c>
      <c r="K220" s="7" t="s">
        <v>61</v>
      </c>
      <c r="L220" s="10" t="s">
        <v>21</v>
      </c>
    </row>
    <row r="221" spans="1:12" x14ac:dyDescent="0.3">
      <c r="A221" s="6" t="s">
        <v>267</v>
      </c>
      <c r="B221" s="18">
        <v>46188</v>
      </c>
      <c r="C221" s="18" t="s">
        <v>88</v>
      </c>
      <c r="D221" s="7">
        <v>3</v>
      </c>
      <c r="E221" s="8">
        <v>1500</v>
      </c>
      <c r="F221" s="9">
        <v>0.05</v>
      </c>
      <c r="G221" s="8">
        <f t="shared" si="9"/>
        <v>4275</v>
      </c>
      <c r="H221" s="8">
        <f t="shared" si="10"/>
        <v>2925</v>
      </c>
      <c r="I221" s="8">
        <f t="shared" si="11"/>
        <v>1350</v>
      </c>
      <c r="J221" s="7" t="s">
        <v>27</v>
      </c>
      <c r="K221" s="7" t="s">
        <v>28</v>
      </c>
      <c r="L221" s="10" t="s">
        <v>25</v>
      </c>
    </row>
    <row r="222" spans="1:12" x14ac:dyDescent="0.3">
      <c r="A222" s="6" t="s">
        <v>268</v>
      </c>
      <c r="B222" s="18">
        <v>46189</v>
      </c>
      <c r="C222" s="18" t="s">
        <v>60</v>
      </c>
      <c r="D222" s="7">
        <v>5</v>
      </c>
      <c r="E222" s="8">
        <v>2090</v>
      </c>
      <c r="F222" s="9">
        <v>0.05</v>
      </c>
      <c r="G222" s="8">
        <f t="shared" si="9"/>
        <v>9927.5</v>
      </c>
      <c r="H222" s="8">
        <f t="shared" si="10"/>
        <v>6792.5</v>
      </c>
      <c r="I222" s="8">
        <f t="shared" si="11"/>
        <v>3135</v>
      </c>
      <c r="J222" s="7" t="s">
        <v>27</v>
      </c>
      <c r="K222" s="7" t="s">
        <v>28</v>
      </c>
      <c r="L222" s="10" t="s">
        <v>16</v>
      </c>
    </row>
    <row r="223" spans="1:12" x14ac:dyDescent="0.3">
      <c r="A223" s="6" t="s">
        <v>269</v>
      </c>
      <c r="B223" s="18">
        <v>45968</v>
      </c>
      <c r="C223" s="18" t="s">
        <v>18</v>
      </c>
      <c r="D223" s="7">
        <v>3</v>
      </c>
      <c r="E223" s="8">
        <v>1710</v>
      </c>
      <c r="F223" s="9">
        <v>0.2</v>
      </c>
      <c r="G223" s="8">
        <f t="shared" si="9"/>
        <v>4104</v>
      </c>
      <c r="H223" s="8">
        <f t="shared" si="10"/>
        <v>3334.5</v>
      </c>
      <c r="I223" s="8">
        <f t="shared" si="11"/>
        <v>769.5</v>
      </c>
      <c r="J223" s="7" t="s">
        <v>14</v>
      </c>
      <c r="K223" s="7" t="s">
        <v>40</v>
      </c>
      <c r="L223" s="10" t="s">
        <v>16</v>
      </c>
    </row>
    <row r="224" spans="1:12" x14ac:dyDescent="0.3">
      <c r="A224" s="6" t="s">
        <v>270</v>
      </c>
      <c r="B224" s="18">
        <v>46003</v>
      </c>
      <c r="C224" s="18" t="s">
        <v>18</v>
      </c>
      <c r="D224" s="7">
        <v>1</v>
      </c>
      <c r="E224" s="8">
        <v>1710</v>
      </c>
      <c r="F224" s="9">
        <v>0</v>
      </c>
      <c r="G224" s="8">
        <f t="shared" si="9"/>
        <v>1710</v>
      </c>
      <c r="H224" s="8">
        <f t="shared" si="10"/>
        <v>1111.5</v>
      </c>
      <c r="I224" s="8">
        <f t="shared" si="11"/>
        <v>598.5</v>
      </c>
      <c r="J224" s="7" t="s">
        <v>19</v>
      </c>
      <c r="K224" s="7" t="s">
        <v>34</v>
      </c>
      <c r="L224" s="10" t="s">
        <v>16</v>
      </c>
    </row>
    <row r="225" spans="1:12" x14ac:dyDescent="0.3">
      <c r="A225" s="6" t="s">
        <v>271</v>
      </c>
      <c r="B225" s="18">
        <v>45873</v>
      </c>
      <c r="C225" s="18" t="s">
        <v>18</v>
      </c>
      <c r="D225" s="7">
        <v>1</v>
      </c>
      <c r="E225" s="8">
        <v>1890</v>
      </c>
      <c r="F225" s="9">
        <v>0.15</v>
      </c>
      <c r="G225" s="8">
        <f t="shared" si="9"/>
        <v>1606.5</v>
      </c>
      <c r="H225" s="8">
        <f t="shared" si="10"/>
        <v>1228.5</v>
      </c>
      <c r="I225" s="8">
        <f t="shared" si="11"/>
        <v>378</v>
      </c>
      <c r="J225" s="7" t="s">
        <v>27</v>
      </c>
      <c r="K225" s="7" t="s">
        <v>31</v>
      </c>
      <c r="L225" s="10" t="s">
        <v>25</v>
      </c>
    </row>
    <row r="226" spans="1:12" x14ac:dyDescent="0.3">
      <c r="A226" s="6" t="s">
        <v>272</v>
      </c>
      <c r="B226" s="18">
        <v>45908</v>
      </c>
      <c r="C226" s="18" t="s">
        <v>43</v>
      </c>
      <c r="D226" s="7">
        <v>8</v>
      </c>
      <c r="E226" s="8">
        <v>3200</v>
      </c>
      <c r="F226" s="9">
        <v>0</v>
      </c>
      <c r="G226" s="8">
        <f t="shared" si="9"/>
        <v>25600</v>
      </c>
      <c r="H226" s="8">
        <f t="shared" si="10"/>
        <v>16640</v>
      </c>
      <c r="I226" s="8">
        <f t="shared" si="11"/>
        <v>8960</v>
      </c>
      <c r="J226" s="7" t="s">
        <v>19</v>
      </c>
      <c r="K226" s="7" t="s">
        <v>20</v>
      </c>
      <c r="L226" s="10" t="s">
        <v>25</v>
      </c>
    </row>
    <row r="227" spans="1:12" x14ac:dyDescent="0.3">
      <c r="A227" s="6" t="s">
        <v>273</v>
      </c>
      <c r="B227" s="18">
        <v>46083</v>
      </c>
      <c r="C227" s="18" t="s">
        <v>56</v>
      </c>
      <c r="D227" s="7">
        <v>4</v>
      </c>
      <c r="E227" s="8">
        <v>10290</v>
      </c>
      <c r="F227" s="9">
        <v>0.1</v>
      </c>
      <c r="G227" s="8">
        <f t="shared" si="9"/>
        <v>37044</v>
      </c>
      <c r="H227" s="8">
        <f t="shared" si="10"/>
        <v>26754</v>
      </c>
      <c r="I227" s="8">
        <f t="shared" si="11"/>
        <v>10290</v>
      </c>
      <c r="J227" s="7" t="s">
        <v>14</v>
      </c>
      <c r="K227" s="7" t="s">
        <v>36</v>
      </c>
      <c r="L227" s="10" t="s">
        <v>16</v>
      </c>
    </row>
    <row r="228" spans="1:12" x14ac:dyDescent="0.3">
      <c r="A228" s="6" t="s">
        <v>274</v>
      </c>
      <c r="B228" s="18">
        <v>45984</v>
      </c>
      <c r="C228" s="18" t="s">
        <v>661</v>
      </c>
      <c r="D228" s="7">
        <v>3</v>
      </c>
      <c r="E228" s="8">
        <v>735</v>
      </c>
      <c r="F228" s="9">
        <v>0.1</v>
      </c>
      <c r="G228" s="8">
        <f t="shared" si="9"/>
        <v>1984.5</v>
      </c>
      <c r="H228" s="8">
        <f t="shared" si="10"/>
        <v>1433.25</v>
      </c>
      <c r="I228" s="8">
        <f t="shared" si="11"/>
        <v>551.25</v>
      </c>
      <c r="J228" s="7" t="s">
        <v>19</v>
      </c>
      <c r="K228" s="7" t="s">
        <v>34</v>
      </c>
      <c r="L228" s="10" t="s">
        <v>21</v>
      </c>
    </row>
    <row r="229" spans="1:12" x14ac:dyDescent="0.3">
      <c r="A229" s="6" t="s">
        <v>275</v>
      </c>
      <c r="B229" s="18">
        <v>46135</v>
      </c>
      <c r="C229" s="18" t="s">
        <v>30</v>
      </c>
      <c r="D229" s="7">
        <v>8</v>
      </c>
      <c r="E229" s="8">
        <v>650</v>
      </c>
      <c r="F229" s="9">
        <v>0.05</v>
      </c>
      <c r="G229" s="8">
        <f t="shared" si="9"/>
        <v>4940</v>
      </c>
      <c r="H229" s="8">
        <f t="shared" si="10"/>
        <v>3380</v>
      </c>
      <c r="I229" s="8">
        <f t="shared" si="11"/>
        <v>1560</v>
      </c>
      <c r="J229" s="7" t="s">
        <v>14</v>
      </c>
      <c r="K229" s="7" t="s">
        <v>15</v>
      </c>
      <c r="L229" s="10" t="s">
        <v>21</v>
      </c>
    </row>
    <row r="230" spans="1:12" x14ac:dyDescent="0.3">
      <c r="A230" s="6" t="s">
        <v>276</v>
      </c>
      <c r="B230" s="18">
        <v>45955</v>
      </c>
      <c r="C230" s="18" t="s">
        <v>43</v>
      </c>
      <c r="D230" s="7">
        <v>4</v>
      </c>
      <c r="E230" s="8">
        <v>3360</v>
      </c>
      <c r="F230" s="9">
        <v>0.05</v>
      </c>
      <c r="G230" s="8">
        <f t="shared" si="9"/>
        <v>12768</v>
      </c>
      <c r="H230" s="8">
        <f t="shared" si="10"/>
        <v>8736</v>
      </c>
      <c r="I230" s="8">
        <f t="shared" si="11"/>
        <v>4032</v>
      </c>
      <c r="J230" s="7" t="s">
        <v>27</v>
      </c>
      <c r="K230" s="7" t="s">
        <v>31</v>
      </c>
      <c r="L230" s="10" t="s">
        <v>21</v>
      </c>
    </row>
    <row r="231" spans="1:12" x14ac:dyDescent="0.3">
      <c r="A231" s="6" t="s">
        <v>277</v>
      </c>
      <c r="B231" s="18">
        <v>45821</v>
      </c>
      <c r="C231" s="18" t="s">
        <v>56</v>
      </c>
      <c r="D231" s="7">
        <v>8</v>
      </c>
      <c r="E231" s="8">
        <v>10290</v>
      </c>
      <c r="F231" s="9">
        <v>0.1</v>
      </c>
      <c r="G231" s="8">
        <f t="shared" si="9"/>
        <v>74088</v>
      </c>
      <c r="H231" s="8">
        <f t="shared" si="10"/>
        <v>53508</v>
      </c>
      <c r="I231" s="8">
        <f t="shared" si="11"/>
        <v>20580</v>
      </c>
      <c r="J231" s="7" t="s">
        <v>23</v>
      </c>
      <c r="K231" s="7" t="s">
        <v>61</v>
      </c>
      <c r="L231" s="10" t="s">
        <v>21</v>
      </c>
    </row>
    <row r="232" spans="1:12" x14ac:dyDescent="0.3">
      <c r="A232" s="6" t="s">
        <v>278</v>
      </c>
      <c r="B232" s="18">
        <v>46060</v>
      </c>
      <c r="C232" s="18" t="s">
        <v>51</v>
      </c>
      <c r="D232" s="7">
        <v>4</v>
      </c>
      <c r="E232" s="8">
        <v>2730</v>
      </c>
      <c r="F232" s="9">
        <v>0.05</v>
      </c>
      <c r="G232" s="8">
        <f t="shared" si="9"/>
        <v>10374</v>
      </c>
      <c r="H232" s="8">
        <f t="shared" si="10"/>
        <v>7098</v>
      </c>
      <c r="I232" s="8">
        <f t="shared" si="11"/>
        <v>3276</v>
      </c>
      <c r="J232" s="7" t="s">
        <v>27</v>
      </c>
      <c r="K232" s="7" t="s">
        <v>49</v>
      </c>
      <c r="L232" s="10" t="s">
        <v>21</v>
      </c>
    </row>
    <row r="233" spans="1:12" x14ac:dyDescent="0.3">
      <c r="A233" s="6" t="s">
        <v>279</v>
      </c>
      <c r="B233" s="18">
        <v>45946</v>
      </c>
      <c r="C233" s="18" t="s">
        <v>56</v>
      </c>
      <c r="D233" s="7">
        <v>5</v>
      </c>
      <c r="E233" s="8">
        <v>10290</v>
      </c>
      <c r="F233" s="9">
        <v>0.2</v>
      </c>
      <c r="G233" s="8">
        <f t="shared" si="9"/>
        <v>41160</v>
      </c>
      <c r="H233" s="8">
        <f t="shared" si="10"/>
        <v>33442.5</v>
      </c>
      <c r="I233" s="8">
        <f t="shared" si="11"/>
        <v>7717.5</v>
      </c>
      <c r="J233" s="7" t="s">
        <v>19</v>
      </c>
      <c r="K233" s="7" t="s">
        <v>70</v>
      </c>
      <c r="L233" s="10" t="s">
        <v>25</v>
      </c>
    </row>
    <row r="234" spans="1:12" x14ac:dyDescent="0.3">
      <c r="A234" s="6" t="s">
        <v>280</v>
      </c>
      <c r="B234" s="18">
        <v>45795</v>
      </c>
      <c r="C234" s="18" t="s">
        <v>60</v>
      </c>
      <c r="D234" s="7">
        <v>7</v>
      </c>
      <c r="E234" s="8">
        <v>2200</v>
      </c>
      <c r="F234" s="9">
        <v>0.1</v>
      </c>
      <c r="G234" s="8">
        <f t="shared" si="9"/>
        <v>13860</v>
      </c>
      <c r="H234" s="8">
        <f t="shared" si="10"/>
        <v>10010</v>
      </c>
      <c r="I234" s="8">
        <f t="shared" si="11"/>
        <v>3850</v>
      </c>
      <c r="J234" s="7" t="s">
        <v>19</v>
      </c>
      <c r="K234" s="7" t="s">
        <v>79</v>
      </c>
      <c r="L234" s="10" t="s">
        <v>21</v>
      </c>
    </row>
    <row r="235" spans="1:12" x14ac:dyDescent="0.3">
      <c r="A235" s="6" t="s">
        <v>281</v>
      </c>
      <c r="B235" s="18">
        <v>45857</v>
      </c>
      <c r="C235" s="18" t="s">
        <v>661</v>
      </c>
      <c r="D235" s="7">
        <v>2</v>
      </c>
      <c r="E235" s="8">
        <v>700</v>
      </c>
      <c r="F235" s="9">
        <v>0.15</v>
      </c>
      <c r="G235" s="8">
        <f t="shared" si="9"/>
        <v>1190</v>
      </c>
      <c r="H235" s="8">
        <f t="shared" si="10"/>
        <v>910</v>
      </c>
      <c r="I235" s="8">
        <f t="shared" si="11"/>
        <v>280</v>
      </c>
      <c r="J235" s="7" t="s">
        <v>23</v>
      </c>
      <c r="K235" s="7" t="s">
        <v>66</v>
      </c>
      <c r="L235" s="10" t="s">
        <v>16</v>
      </c>
    </row>
    <row r="236" spans="1:12" x14ac:dyDescent="0.3">
      <c r="A236" s="6" t="s">
        <v>282</v>
      </c>
      <c r="B236" s="18">
        <v>45779</v>
      </c>
      <c r="C236" s="18" t="s">
        <v>88</v>
      </c>
      <c r="D236" s="7">
        <v>7</v>
      </c>
      <c r="E236" s="8">
        <v>1425</v>
      </c>
      <c r="F236" s="9">
        <v>0.1</v>
      </c>
      <c r="G236" s="8">
        <f t="shared" si="9"/>
        <v>8977.5</v>
      </c>
      <c r="H236" s="8">
        <f t="shared" si="10"/>
        <v>6483.75</v>
      </c>
      <c r="I236" s="8">
        <f t="shared" si="11"/>
        <v>2493.75</v>
      </c>
      <c r="J236" s="7" t="s">
        <v>27</v>
      </c>
      <c r="K236" s="7" t="s">
        <v>31</v>
      </c>
      <c r="L236" s="10" t="s">
        <v>21</v>
      </c>
    </row>
    <row r="237" spans="1:12" x14ac:dyDescent="0.3">
      <c r="A237" s="6" t="s">
        <v>283</v>
      </c>
      <c r="B237" s="18">
        <v>45861</v>
      </c>
      <c r="C237" s="18" t="s">
        <v>18</v>
      </c>
      <c r="D237" s="7">
        <v>1</v>
      </c>
      <c r="E237" s="8">
        <v>1890</v>
      </c>
      <c r="F237" s="9">
        <v>0</v>
      </c>
      <c r="G237" s="8">
        <f t="shared" si="9"/>
        <v>1890</v>
      </c>
      <c r="H237" s="8">
        <f t="shared" si="10"/>
        <v>1228.5</v>
      </c>
      <c r="I237" s="8">
        <f t="shared" si="11"/>
        <v>661.5</v>
      </c>
      <c r="J237" s="7" t="s">
        <v>19</v>
      </c>
      <c r="K237" s="7" t="s">
        <v>20</v>
      </c>
      <c r="L237" s="10" t="s">
        <v>16</v>
      </c>
    </row>
    <row r="238" spans="1:12" x14ac:dyDescent="0.3">
      <c r="A238" s="6" t="s">
        <v>284</v>
      </c>
      <c r="B238" s="18">
        <v>45999</v>
      </c>
      <c r="C238" s="18" t="s">
        <v>56</v>
      </c>
      <c r="D238" s="7">
        <v>3</v>
      </c>
      <c r="E238" s="8">
        <v>10290</v>
      </c>
      <c r="F238" s="9">
        <v>0.2</v>
      </c>
      <c r="G238" s="8">
        <f t="shared" si="9"/>
        <v>24696</v>
      </c>
      <c r="H238" s="8">
        <f t="shared" si="10"/>
        <v>20065.5</v>
      </c>
      <c r="I238" s="8">
        <f t="shared" si="11"/>
        <v>4630.5</v>
      </c>
      <c r="J238" s="7" t="s">
        <v>14</v>
      </c>
      <c r="K238" s="7" t="s">
        <v>36</v>
      </c>
      <c r="L238" s="10" t="s">
        <v>16</v>
      </c>
    </row>
    <row r="239" spans="1:12" x14ac:dyDescent="0.3">
      <c r="A239" s="6" t="s">
        <v>285</v>
      </c>
      <c r="B239" s="18">
        <v>45984</v>
      </c>
      <c r="C239" s="18" t="s">
        <v>88</v>
      </c>
      <c r="D239" s="7">
        <v>5</v>
      </c>
      <c r="E239" s="8">
        <v>1575</v>
      </c>
      <c r="F239" s="9">
        <v>0.2</v>
      </c>
      <c r="G239" s="8">
        <f t="shared" si="9"/>
        <v>6300</v>
      </c>
      <c r="H239" s="8">
        <f t="shared" si="10"/>
        <v>5118.75</v>
      </c>
      <c r="I239" s="8">
        <f t="shared" si="11"/>
        <v>1181.25</v>
      </c>
      <c r="J239" s="7" t="s">
        <v>27</v>
      </c>
      <c r="K239" s="7" t="s">
        <v>52</v>
      </c>
      <c r="L239" s="10" t="s">
        <v>16</v>
      </c>
    </row>
    <row r="240" spans="1:12" x14ac:dyDescent="0.3">
      <c r="A240" s="6" t="s">
        <v>286</v>
      </c>
      <c r="B240" s="18">
        <v>45964</v>
      </c>
      <c r="C240" s="18" t="s">
        <v>56</v>
      </c>
      <c r="D240" s="7">
        <v>6</v>
      </c>
      <c r="E240" s="8">
        <v>9310</v>
      </c>
      <c r="F240" s="9">
        <v>0.1</v>
      </c>
      <c r="G240" s="8">
        <f t="shared" si="9"/>
        <v>50274</v>
      </c>
      <c r="H240" s="8">
        <f t="shared" si="10"/>
        <v>36309</v>
      </c>
      <c r="I240" s="8">
        <f t="shared" si="11"/>
        <v>13965</v>
      </c>
      <c r="J240" s="7" t="s">
        <v>19</v>
      </c>
      <c r="K240" s="7" t="s">
        <v>79</v>
      </c>
      <c r="L240" s="10" t="s">
        <v>16</v>
      </c>
    </row>
    <row r="241" spans="1:12" x14ac:dyDescent="0.3">
      <c r="A241" s="6" t="s">
        <v>287</v>
      </c>
      <c r="B241" s="18">
        <v>45973</v>
      </c>
      <c r="C241" s="18" t="s">
        <v>13</v>
      </c>
      <c r="D241" s="7">
        <v>5</v>
      </c>
      <c r="E241" s="8">
        <v>54600</v>
      </c>
      <c r="F241" s="9">
        <v>0.2</v>
      </c>
      <c r="G241" s="8">
        <f t="shared" si="9"/>
        <v>218400</v>
      </c>
      <c r="H241" s="8">
        <f t="shared" si="10"/>
        <v>177450</v>
      </c>
      <c r="I241" s="8">
        <f t="shared" si="11"/>
        <v>40950</v>
      </c>
      <c r="J241" s="7" t="s">
        <v>14</v>
      </c>
      <c r="K241" s="7" t="s">
        <v>15</v>
      </c>
      <c r="L241" s="10" t="s">
        <v>16</v>
      </c>
    </row>
    <row r="242" spans="1:12" x14ac:dyDescent="0.3">
      <c r="A242" s="6" t="s">
        <v>288</v>
      </c>
      <c r="B242" s="18">
        <v>46149</v>
      </c>
      <c r="C242" s="18" t="s">
        <v>88</v>
      </c>
      <c r="D242" s="7">
        <v>3</v>
      </c>
      <c r="E242" s="8">
        <v>1575</v>
      </c>
      <c r="F242" s="9">
        <v>0.05</v>
      </c>
      <c r="G242" s="8">
        <f t="shared" si="9"/>
        <v>4488.75</v>
      </c>
      <c r="H242" s="8">
        <f t="shared" si="10"/>
        <v>3071.25</v>
      </c>
      <c r="I242" s="8">
        <f t="shared" si="11"/>
        <v>1417.5</v>
      </c>
      <c r="J242" s="7" t="s">
        <v>19</v>
      </c>
      <c r="K242" s="7" t="s">
        <v>70</v>
      </c>
      <c r="L242" s="10" t="s">
        <v>21</v>
      </c>
    </row>
    <row r="243" spans="1:12" x14ac:dyDescent="0.3">
      <c r="A243" s="6" t="s">
        <v>289</v>
      </c>
      <c r="B243" s="18">
        <v>45677</v>
      </c>
      <c r="C243" s="18" t="s">
        <v>56</v>
      </c>
      <c r="D243" s="7">
        <v>7</v>
      </c>
      <c r="E243" s="8">
        <v>9800</v>
      </c>
      <c r="F243" s="9">
        <v>0.05</v>
      </c>
      <c r="G243" s="8">
        <f t="shared" si="9"/>
        <v>65170</v>
      </c>
      <c r="H243" s="8">
        <f t="shared" si="10"/>
        <v>44590</v>
      </c>
      <c r="I243" s="8">
        <f t="shared" si="11"/>
        <v>20580</v>
      </c>
      <c r="J243" s="7" t="s">
        <v>23</v>
      </c>
      <c r="K243" s="7" t="s">
        <v>24</v>
      </c>
      <c r="L243" s="10" t="s">
        <v>25</v>
      </c>
    </row>
    <row r="244" spans="1:12" x14ac:dyDescent="0.3">
      <c r="A244" s="6" t="s">
        <v>290</v>
      </c>
      <c r="B244" s="18">
        <v>46171</v>
      </c>
      <c r="C244" s="18" t="s">
        <v>18</v>
      </c>
      <c r="D244" s="7">
        <v>1</v>
      </c>
      <c r="E244" s="8">
        <v>1890</v>
      </c>
      <c r="F244" s="9">
        <v>0.05</v>
      </c>
      <c r="G244" s="8">
        <f t="shared" si="9"/>
        <v>1795.5</v>
      </c>
      <c r="H244" s="8">
        <f t="shared" si="10"/>
        <v>1228.5</v>
      </c>
      <c r="I244" s="8">
        <f t="shared" si="11"/>
        <v>567</v>
      </c>
      <c r="J244" s="7" t="s">
        <v>14</v>
      </c>
      <c r="K244" s="7" t="s">
        <v>36</v>
      </c>
      <c r="L244" s="10" t="s">
        <v>16</v>
      </c>
    </row>
    <row r="245" spans="1:12" x14ac:dyDescent="0.3">
      <c r="A245" s="6" t="s">
        <v>291</v>
      </c>
      <c r="B245" s="18">
        <v>46147</v>
      </c>
      <c r="C245" s="18" t="s">
        <v>51</v>
      </c>
      <c r="D245" s="7">
        <v>6</v>
      </c>
      <c r="E245" s="8">
        <v>2730</v>
      </c>
      <c r="F245" s="9">
        <v>0.05</v>
      </c>
      <c r="G245" s="8">
        <f t="shared" si="9"/>
        <v>15561</v>
      </c>
      <c r="H245" s="8">
        <f t="shared" si="10"/>
        <v>10647</v>
      </c>
      <c r="I245" s="8">
        <f t="shared" si="11"/>
        <v>4914</v>
      </c>
      <c r="J245" s="7" t="s">
        <v>23</v>
      </c>
      <c r="K245" s="7" t="s">
        <v>66</v>
      </c>
      <c r="L245" s="10" t="s">
        <v>16</v>
      </c>
    </row>
    <row r="246" spans="1:12" x14ac:dyDescent="0.3">
      <c r="A246" s="6" t="s">
        <v>292</v>
      </c>
      <c r="B246" s="18">
        <v>46020</v>
      </c>
      <c r="C246" s="18" t="s">
        <v>60</v>
      </c>
      <c r="D246" s="7">
        <v>4</v>
      </c>
      <c r="E246" s="8">
        <v>2310</v>
      </c>
      <c r="F246" s="9">
        <v>0.05</v>
      </c>
      <c r="G246" s="8">
        <f t="shared" si="9"/>
        <v>8778</v>
      </c>
      <c r="H246" s="8">
        <f t="shared" si="10"/>
        <v>6006</v>
      </c>
      <c r="I246" s="8">
        <f t="shared" si="11"/>
        <v>2772</v>
      </c>
      <c r="J246" s="7" t="s">
        <v>27</v>
      </c>
      <c r="K246" s="7" t="s">
        <v>31</v>
      </c>
      <c r="L246" s="10" t="s">
        <v>21</v>
      </c>
    </row>
    <row r="247" spans="1:12" x14ac:dyDescent="0.3">
      <c r="A247" s="6" t="s">
        <v>293</v>
      </c>
      <c r="B247" s="18">
        <v>45962</v>
      </c>
      <c r="C247" s="18" t="s">
        <v>60</v>
      </c>
      <c r="D247" s="7">
        <v>8</v>
      </c>
      <c r="E247" s="8">
        <v>2200</v>
      </c>
      <c r="F247" s="9">
        <v>0.1</v>
      </c>
      <c r="G247" s="8">
        <f t="shared" si="9"/>
        <v>15840</v>
      </c>
      <c r="H247" s="8">
        <f t="shared" si="10"/>
        <v>11440</v>
      </c>
      <c r="I247" s="8">
        <f t="shared" si="11"/>
        <v>4400</v>
      </c>
      <c r="J247" s="7" t="s">
        <v>23</v>
      </c>
      <c r="K247" s="7" t="s">
        <v>66</v>
      </c>
      <c r="L247" s="10" t="s">
        <v>16</v>
      </c>
    </row>
    <row r="248" spans="1:12" x14ac:dyDescent="0.3">
      <c r="A248" s="6" t="s">
        <v>294</v>
      </c>
      <c r="B248" s="18">
        <v>45938</v>
      </c>
      <c r="C248" s="18" t="s">
        <v>60</v>
      </c>
      <c r="D248" s="7">
        <v>7</v>
      </c>
      <c r="E248" s="8">
        <v>2090</v>
      </c>
      <c r="F248" s="9">
        <v>0.15</v>
      </c>
      <c r="G248" s="8">
        <f t="shared" si="9"/>
        <v>12435.5</v>
      </c>
      <c r="H248" s="8">
        <f t="shared" si="10"/>
        <v>9509.5</v>
      </c>
      <c r="I248" s="8">
        <f t="shared" si="11"/>
        <v>2926</v>
      </c>
      <c r="J248" s="7" t="s">
        <v>27</v>
      </c>
      <c r="K248" s="7" t="s">
        <v>28</v>
      </c>
      <c r="L248" s="10" t="s">
        <v>25</v>
      </c>
    </row>
    <row r="249" spans="1:12" x14ac:dyDescent="0.3">
      <c r="A249" s="6" t="s">
        <v>295</v>
      </c>
      <c r="B249" s="18">
        <v>45701</v>
      </c>
      <c r="C249" s="18" t="s">
        <v>60</v>
      </c>
      <c r="D249" s="7">
        <v>6</v>
      </c>
      <c r="E249" s="8">
        <v>2090</v>
      </c>
      <c r="F249" s="9">
        <v>0.15</v>
      </c>
      <c r="G249" s="8">
        <f t="shared" si="9"/>
        <v>10659</v>
      </c>
      <c r="H249" s="8">
        <f t="shared" si="10"/>
        <v>8151</v>
      </c>
      <c r="I249" s="8">
        <f t="shared" si="11"/>
        <v>2508</v>
      </c>
      <c r="J249" s="7" t="s">
        <v>27</v>
      </c>
      <c r="K249" s="7" t="s">
        <v>52</v>
      </c>
      <c r="L249" s="10" t="s">
        <v>21</v>
      </c>
    </row>
    <row r="250" spans="1:12" x14ac:dyDescent="0.3">
      <c r="A250" s="6" t="s">
        <v>296</v>
      </c>
      <c r="B250" s="18">
        <v>45864</v>
      </c>
      <c r="C250" s="18" t="s">
        <v>51</v>
      </c>
      <c r="D250" s="7">
        <v>5</v>
      </c>
      <c r="E250" s="8">
        <v>2600</v>
      </c>
      <c r="F250" s="9">
        <v>0.05</v>
      </c>
      <c r="G250" s="8">
        <f t="shared" si="9"/>
        <v>12350</v>
      </c>
      <c r="H250" s="8">
        <f t="shared" si="10"/>
        <v>8450</v>
      </c>
      <c r="I250" s="8">
        <f t="shared" si="11"/>
        <v>3900</v>
      </c>
      <c r="J250" s="7" t="s">
        <v>19</v>
      </c>
      <c r="K250" s="7" t="s">
        <v>20</v>
      </c>
      <c r="L250" s="10" t="s">
        <v>21</v>
      </c>
    </row>
    <row r="251" spans="1:12" x14ac:dyDescent="0.3">
      <c r="A251" s="6" t="s">
        <v>297</v>
      </c>
      <c r="B251" s="18">
        <v>45709</v>
      </c>
      <c r="C251" s="18" t="s">
        <v>51</v>
      </c>
      <c r="D251" s="7">
        <v>4</v>
      </c>
      <c r="E251" s="8">
        <v>2600</v>
      </c>
      <c r="F251" s="9">
        <v>0</v>
      </c>
      <c r="G251" s="8">
        <f t="shared" si="9"/>
        <v>10400</v>
      </c>
      <c r="H251" s="8">
        <f t="shared" si="10"/>
        <v>6760</v>
      </c>
      <c r="I251" s="8">
        <f t="shared" si="11"/>
        <v>3640</v>
      </c>
      <c r="J251" s="7" t="s">
        <v>19</v>
      </c>
      <c r="K251" s="7" t="s">
        <v>79</v>
      </c>
      <c r="L251" s="10" t="s">
        <v>25</v>
      </c>
    </row>
    <row r="252" spans="1:12" x14ac:dyDescent="0.3">
      <c r="A252" s="6" t="s">
        <v>298</v>
      </c>
      <c r="B252" s="18">
        <v>46141</v>
      </c>
      <c r="C252" s="18" t="s">
        <v>30</v>
      </c>
      <c r="D252" s="7">
        <v>1</v>
      </c>
      <c r="E252" s="8">
        <v>650</v>
      </c>
      <c r="F252" s="9">
        <v>0.2</v>
      </c>
      <c r="G252" s="8">
        <f t="shared" si="9"/>
        <v>520</v>
      </c>
      <c r="H252" s="8">
        <f t="shared" si="10"/>
        <v>422.5</v>
      </c>
      <c r="I252" s="8">
        <f t="shared" si="11"/>
        <v>97.5</v>
      </c>
      <c r="J252" s="7" t="s">
        <v>299</v>
      </c>
      <c r="K252" s="7" t="s">
        <v>47</v>
      </c>
      <c r="L252" s="10" t="s">
        <v>16</v>
      </c>
    </row>
    <row r="253" spans="1:12" x14ac:dyDescent="0.3">
      <c r="A253" s="6" t="s">
        <v>300</v>
      </c>
      <c r="B253" s="18">
        <v>46145</v>
      </c>
      <c r="C253" s="18" t="s">
        <v>56</v>
      </c>
      <c r="D253" s="7">
        <v>5</v>
      </c>
      <c r="E253" s="8">
        <v>9800</v>
      </c>
      <c r="F253" s="9">
        <v>0.1</v>
      </c>
      <c r="G253" s="8">
        <f t="shared" si="9"/>
        <v>44100</v>
      </c>
      <c r="H253" s="8">
        <f t="shared" si="10"/>
        <v>31850</v>
      </c>
      <c r="I253" s="8">
        <f t="shared" si="11"/>
        <v>12250</v>
      </c>
      <c r="J253" s="7" t="s">
        <v>27</v>
      </c>
      <c r="K253" s="7" t="s">
        <v>49</v>
      </c>
      <c r="L253" s="10" t="s">
        <v>21</v>
      </c>
    </row>
    <row r="254" spans="1:12" x14ac:dyDescent="0.3">
      <c r="A254" s="6" t="s">
        <v>301</v>
      </c>
      <c r="B254" s="18">
        <v>45895</v>
      </c>
      <c r="C254" s="18" t="s">
        <v>51</v>
      </c>
      <c r="D254" s="7">
        <v>3</v>
      </c>
      <c r="E254" s="8">
        <v>2470</v>
      </c>
      <c r="F254" s="9">
        <v>0.15</v>
      </c>
      <c r="G254" s="8">
        <f t="shared" si="9"/>
        <v>6298.5</v>
      </c>
      <c r="H254" s="8">
        <f t="shared" si="10"/>
        <v>4816.5</v>
      </c>
      <c r="I254" s="8">
        <f t="shared" si="11"/>
        <v>1482</v>
      </c>
      <c r="J254" s="7" t="s">
        <v>14</v>
      </c>
      <c r="K254" s="7" t="s">
        <v>15</v>
      </c>
      <c r="L254" s="10" t="s">
        <v>25</v>
      </c>
    </row>
    <row r="255" spans="1:12" x14ac:dyDescent="0.3">
      <c r="A255" s="6" t="s">
        <v>302</v>
      </c>
      <c r="B255" s="18">
        <v>46165</v>
      </c>
      <c r="C255" s="18" t="s">
        <v>88</v>
      </c>
      <c r="D255" s="7">
        <v>1</v>
      </c>
      <c r="E255" s="8">
        <v>1500</v>
      </c>
      <c r="F255" s="9">
        <v>0</v>
      </c>
      <c r="G255" s="8">
        <f t="shared" si="9"/>
        <v>1500</v>
      </c>
      <c r="H255" s="8">
        <f t="shared" si="10"/>
        <v>975</v>
      </c>
      <c r="I255" s="8">
        <f t="shared" si="11"/>
        <v>525</v>
      </c>
      <c r="J255" s="7" t="s">
        <v>27</v>
      </c>
      <c r="K255" s="7" t="s">
        <v>49</v>
      </c>
      <c r="L255" s="10" t="s">
        <v>25</v>
      </c>
    </row>
    <row r="256" spans="1:12" x14ac:dyDescent="0.3">
      <c r="A256" s="6" t="s">
        <v>303</v>
      </c>
      <c r="B256" s="18">
        <v>45949</v>
      </c>
      <c r="C256" s="18" t="s">
        <v>56</v>
      </c>
      <c r="D256" s="7">
        <v>3</v>
      </c>
      <c r="E256" s="8">
        <v>10290</v>
      </c>
      <c r="F256" s="9">
        <v>0.2</v>
      </c>
      <c r="G256" s="8">
        <f t="shared" si="9"/>
        <v>24696</v>
      </c>
      <c r="H256" s="8">
        <f t="shared" si="10"/>
        <v>20065.5</v>
      </c>
      <c r="I256" s="8">
        <f t="shared" si="11"/>
        <v>4630.5</v>
      </c>
      <c r="J256" s="7" t="s">
        <v>23</v>
      </c>
      <c r="K256" s="7" t="s">
        <v>66</v>
      </c>
      <c r="L256" s="10" t="s">
        <v>21</v>
      </c>
    </row>
    <row r="257" spans="1:12" x14ac:dyDescent="0.3">
      <c r="A257" s="6" t="s">
        <v>304</v>
      </c>
      <c r="B257" s="18">
        <v>45773</v>
      </c>
      <c r="C257" s="18" t="s">
        <v>661</v>
      </c>
      <c r="D257" s="7">
        <v>8</v>
      </c>
      <c r="E257" s="8">
        <v>700</v>
      </c>
      <c r="F257" s="9">
        <v>0.1</v>
      </c>
      <c r="G257" s="8">
        <f t="shared" si="9"/>
        <v>5040</v>
      </c>
      <c r="H257" s="8">
        <f t="shared" si="10"/>
        <v>3640</v>
      </c>
      <c r="I257" s="8">
        <f t="shared" si="11"/>
        <v>1400</v>
      </c>
      <c r="J257" s="7" t="s">
        <v>14</v>
      </c>
      <c r="K257" s="7" t="s">
        <v>15</v>
      </c>
      <c r="L257" s="10" t="s">
        <v>16</v>
      </c>
    </row>
    <row r="258" spans="1:12" x14ac:dyDescent="0.3">
      <c r="A258" s="6" t="s">
        <v>305</v>
      </c>
      <c r="B258" s="18">
        <v>46003</v>
      </c>
      <c r="C258" s="18" t="s">
        <v>60</v>
      </c>
      <c r="D258" s="7">
        <v>3</v>
      </c>
      <c r="E258" s="8">
        <v>2200</v>
      </c>
      <c r="F258" s="9">
        <v>0.2</v>
      </c>
      <c r="G258" s="8">
        <f t="shared" si="9"/>
        <v>5280</v>
      </c>
      <c r="H258" s="8">
        <f t="shared" si="10"/>
        <v>4290</v>
      </c>
      <c r="I258" s="8">
        <f t="shared" si="11"/>
        <v>990</v>
      </c>
      <c r="J258" s="7" t="s">
        <v>23</v>
      </c>
      <c r="K258" s="7" t="s">
        <v>72</v>
      </c>
      <c r="L258" s="10" t="s">
        <v>16</v>
      </c>
    </row>
    <row r="259" spans="1:12" x14ac:dyDescent="0.3">
      <c r="A259" s="6" t="s">
        <v>306</v>
      </c>
      <c r="B259" s="18">
        <v>45993</v>
      </c>
      <c r="C259" s="18" t="s">
        <v>30</v>
      </c>
      <c r="D259" s="7">
        <v>2</v>
      </c>
      <c r="E259" s="8">
        <v>682.5</v>
      </c>
      <c r="F259" s="9">
        <v>0.05</v>
      </c>
      <c r="G259" s="8">
        <f t="shared" ref="G259:G322" si="12">D259*E259*(1-F259)</f>
        <v>1296.75</v>
      </c>
      <c r="H259" s="8">
        <f t="shared" ref="H259:H322" si="13">D259*E259*65%</f>
        <v>887.25</v>
      </c>
      <c r="I259" s="8">
        <f t="shared" ref="I259:I322" si="14">G259-H259</f>
        <v>409.5</v>
      </c>
      <c r="J259" s="7" t="s">
        <v>14</v>
      </c>
      <c r="K259" s="7" t="s">
        <v>47</v>
      </c>
      <c r="L259" s="10" t="s">
        <v>25</v>
      </c>
    </row>
    <row r="260" spans="1:12" x14ac:dyDescent="0.3">
      <c r="A260" s="6" t="s">
        <v>307</v>
      </c>
      <c r="B260" s="18">
        <v>45912</v>
      </c>
      <c r="C260" s="18" t="s">
        <v>13</v>
      </c>
      <c r="D260" s="7">
        <v>7</v>
      </c>
      <c r="E260" s="8">
        <v>52000</v>
      </c>
      <c r="F260" s="9">
        <v>0.05</v>
      </c>
      <c r="G260" s="8">
        <f t="shared" si="12"/>
        <v>345800</v>
      </c>
      <c r="H260" s="8">
        <f t="shared" si="13"/>
        <v>236600</v>
      </c>
      <c r="I260" s="8">
        <f t="shared" si="14"/>
        <v>109200</v>
      </c>
      <c r="J260" s="7" t="s">
        <v>23</v>
      </c>
      <c r="K260" s="7" t="s">
        <v>66</v>
      </c>
      <c r="L260" s="10" t="s">
        <v>25</v>
      </c>
    </row>
    <row r="261" spans="1:12" x14ac:dyDescent="0.3">
      <c r="A261" s="6" t="s">
        <v>308</v>
      </c>
      <c r="B261" s="18">
        <v>45967</v>
      </c>
      <c r="C261" s="18" t="s">
        <v>18</v>
      </c>
      <c r="D261" s="7">
        <v>5</v>
      </c>
      <c r="E261" s="8">
        <v>1710</v>
      </c>
      <c r="F261" s="9">
        <v>0.1</v>
      </c>
      <c r="G261" s="8">
        <f t="shared" si="12"/>
        <v>7695</v>
      </c>
      <c r="H261" s="8">
        <f t="shared" si="13"/>
        <v>5557.5</v>
      </c>
      <c r="I261" s="8">
        <f t="shared" si="14"/>
        <v>2137.5</v>
      </c>
      <c r="J261" s="7" t="s">
        <v>14</v>
      </c>
      <c r="K261" s="7" t="s">
        <v>15</v>
      </c>
      <c r="L261" s="10" t="s">
        <v>16</v>
      </c>
    </row>
    <row r="262" spans="1:12" x14ac:dyDescent="0.3">
      <c r="A262" s="6" t="s">
        <v>309</v>
      </c>
      <c r="B262" s="18">
        <v>45779</v>
      </c>
      <c r="C262" s="18" t="s">
        <v>56</v>
      </c>
      <c r="D262" s="7">
        <v>3</v>
      </c>
      <c r="E262" s="8">
        <v>9800</v>
      </c>
      <c r="F262" s="9">
        <v>0.15</v>
      </c>
      <c r="G262" s="8">
        <f t="shared" si="12"/>
        <v>24990</v>
      </c>
      <c r="H262" s="8">
        <f t="shared" si="13"/>
        <v>19110</v>
      </c>
      <c r="I262" s="8">
        <f t="shared" si="14"/>
        <v>5880</v>
      </c>
      <c r="J262" s="7" t="s">
        <v>27</v>
      </c>
      <c r="K262" s="7" t="s">
        <v>49</v>
      </c>
      <c r="L262" s="10" t="s">
        <v>310</v>
      </c>
    </row>
    <row r="263" spans="1:12" x14ac:dyDescent="0.3">
      <c r="A263" s="6" t="s">
        <v>311</v>
      </c>
      <c r="B263" s="18">
        <v>45960</v>
      </c>
      <c r="C263" s="18" t="s">
        <v>661</v>
      </c>
      <c r="D263" s="7">
        <v>4</v>
      </c>
      <c r="E263" s="8">
        <v>700</v>
      </c>
      <c r="F263" s="9">
        <v>0.05</v>
      </c>
      <c r="G263" s="8">
        <f t="shared" si="12"/>
        <v>2660</v>
      </c>
      <c r="H263" s="8">
        <f t="shared" si="13"/>
        <v>1820</v>
      </c>
      <c r="I263" s="8">
        <f t="shared" si="14"/>
        <v>840</v>
      </c>
      <c r="J263" s="7" t="s">
        <v>23</v>
      </c>
      <c r="K263" s="7" t="s">
        <v>24</v>
      </c>
      <c r="L263" s="10" t="s">
        <v>25</v>
      </c>
    </row>
    <row r="264" spans="1:12" x14ac:dyDescent="0.3">
      <c r="A264" s="6" t="s">
        <v>312</v>
      </c>
      <c r="B264" s="18">
        <v>46040</v>
      </c>
      <c r="C264" s="18" t="s">
        <v>43</v>
      </c>
      <c r="D264" s="7">
        <v>4</v>
      </c>
      <c r="E264" s="8">
        <v>3360</v>
      </c>
      <c r="F264" s="9">
        <v>0.05</v>
      </c>
      <c r="G264" s="8">
        <f t="shared" si="12"/>
        <v>12768</v>
      </c>
      <c r="H264" s="8">
        <f t="shared" si="13"/>
        <v>8736</v>
      </c>
      <c r="I264" s="8">
        <f t="shared" si="14"/>
        <v>4032</v>
      </c>
      <c r="J264" s="7" t="s">
        <v>19</v>
      </c>
      <c r="K264" s="7" t="s">
        <v>79</v>
      </c>
      <c r="L264" s="10" t="s">
        <v>16</v>
      </c>
    </row>
    <row r="265" spans="1:12" x14ac:dyDescent="0.3">
      <c r="A265" s="6" t="s">
        <v>313</v>
      </c>
      <c r="B265" s="18">
        <v>46028</v>
      </c>
      <c r="C265" s="18" t="s">
        <v>30</v>
      </c>
      <c r="D265" s="7">
        <v>1</v>
      </c>
      <c r="E265" s="8">
        <v>617.5</v>
      </c>
      <c r="F265" s="9">
        <v>0.2</v>
      </c>
      <c r="G265" s="8">
        <f t="shared" si="12"/>
        <v>494</v>
      </c>
      <c r="H265" s="8">
        <f t="shared" si="13"/>
        <v>401.375</v>
      </c>
      <c r="I265" s="8">
        <f t="shared" si="14"/>
        <v>92.625</v>
      </c>
      <c r="J265" s="7" t="s">
        <v>14</v>
      </c>
      <c r="K265" s="7" t="s">
        <v>40</v>
      </c>
      <c r="L265" s="10" t="s">
        <v>21</v>
      </c>
    </row>
    <row r="266" spans="1:12" x14ac:dyDescent="0.3">
      <c r="A266" s="6" t="s">
        <v>314</v>
      </c>
      <c r="B266" s="18">
        <v>45993</v>
      </c>
      <c r="C266" s="18" t="s">
        <v>51</v>
      </c>
      <c r="D266" s="7">
        <v>2</v>
      </c>
      <c r="E266" s="8">
        <v>2730</v>
      </c>
      <c r="F266" s="9">
        <v>0.05</v>
      </c>
      <c r="G266" s="8">
        <f t="shared" si="12"/>
        <v>5187</v>
      </c>
      <c r="H266" s="8">
        <f t="shared" si="13"/>
        <v>3549</v>
      </c>
      <c r="I266" s="8">
        <f t="shared" si="14"/>
        <v>1638</v>
      </c>
      <c r="J266" s="7" t="s">
        <v>23</v>
      </c>
      <c r="K266" s="7" t="s">
        <v>61</v>
      </c>
      <c r="L266" s="10" t="s">
        <v>16</v>
      </c>
    </row>
    <row r="267" spans="1:12" x14ac:dyDescent="0.3">
      <c r="A267" s="6" t="s">
        <v>315</v>
      </c>
      <c r="B267" s="18">
        <v>46114</v>
      </c>
      <c r="C267" s="18" t="s">
        <v>13</v>
      </c>
      <c r="D267" s="7">
        <v>3</v>
      </c>
      <c r="E267" s="8">
        <v>54600</v>
      </c>
      <c r="F267" s="9">
        <v>0.2</v>
      </c>
      <c r="G267" s="8">
        <f t="shared" si="12"/>
        <v>131040</v>
      </c>
      <c r="H267" s="8">
        <f t="shared" si="13"/>
        <v>106470</v>
      </c>
      <c r="I267" s="8">
        <f t="shared" si="14"/>
        <v>24570</v>
      </c>
      <c r="J267" s="7" t="s">
        <v>23</v>
      </c>
      <c r="K267" s="7" t="s">
        <v>72</v>
      </c>
      <c r="L267" s="10" t="s">
        <v>16</v>
      </c>
    </row>
    <row r="268" spans="1:12" x14ac:dyDescent="0.3">
      <c r="A268" s="6" t="s">
        <v>316</v>
      </c>
      <c r="B268" s="18">
        <v>45717</v>
      </c>
      <c r="C268" s="18" t="s">
        <v>51</v>
      </c>
      <c r="D268" s="7">
        <v>5</v>
      </c>
      <c r="E268" s="8">
        <v>2730</v>
      </c>
      <c r="F268" s="9">
        <v>0</v>
      </c>
      <c r="G268" s="8">
        <f t="shared" si="12"/>
        <v>13650</v>
      </c>
      <c r="H268" s="8">
        <f t="shared" si="13"/>
        <v>8872.5</v>
      </c>
      <c r="I268" s="8">
        <f t="shared" si="14"/>
        <v>4777.5</v>
      </c>
      <c r="J268" s="7" t="s">
        <v>23</v>
      </c>
      <c r="K268" s="7" t="s">
        <v>66</v>
      </c>
      <c r="L268" s="10" t="s">
        <v>21</v>
      </c>
    </row>
    <row r="269" spans="1:12" x14ac:dyDescent="0.3">
      <c r="A269" s="6" t="s">
        <v>317</v>
      </c>
      <c r="B269" s="18">
        <v>45881</v>
      </c>
      <c r="C269" s="18" t="s">
        <v>18</v>
      </c>
      <c r="D269" s="7">
        <v>1</v>
      </c>
      <c r="E269" s="8">
        <v>1710</v>
      </c>
      <c r="F269" s="9">
        <v>0.15</v>
      </c>
      <c r="G269" s="8">
        <f t="shared" si="12"/>
        <v>1453.5</v>
      </c>
      <c r="H269" s="8">
        <f t="shared" si="13"/>
        <v>1111.5</v>
      </c>
      <c r="I269" s="8">
        <f t="shared" si="14"/>
        <v>342</v>
      </c>
      <c r="J269" s="7" t="s">
        <v>27</v>
      </c>
      <c r="K269" s="7" t="s">
        <v>49</v>
      </c>
      <c r="L269" s="10" t="s">
        <v>16</v>
      </c>
    </row>
    <row r="270" spans="1:12" x14ac:dyDescent="0.3">
      <c r="A270" s="6" t="s">
        <v>318</v>
      </c>
      <c r="B270" s="18">
        <v>45719</v>
      </c>
      <c r="C270" s="18" t="s">
        <v>30</v>
      </c>
      <c r="D270" s="7">
        <v>1</v>
      </c>
      <c r="E270" s="8">
        <v>682.5</v>
      </c>
      <c r="F270" s="9">
        <v>0.1</v>
      </c>
      <c r="G270" s="8">
        <f t="shared" si="12"/>
        <v>614.25</v>
      </c>
      <c r="H270" s="8">
        <f t="shared" si="13"/>
        <v>443.625</v>
      </c>
      <c r="I270" s="8">
        <f t="shared" si="14"/>
        <v>170.625</v>
      </c>
      <c r="J270" s="7" t="s">
        <v>23</v>
      </c>
      <c r="K270" s="7" t="s">
        <v>24</v>
      </c>
      <c r="L270" s="10" t="s">
        <v>21</v>
      </c>
    </row>
    <row r="271" spans="1:12" x14ac:dyDescent="0.3">
      <c r="A271" s="6" t="s">
        <v>319</v>
      </c>
      <c r="B271" s="18">
        <v>46088</v>
      </c>
      <c r="C271" s="18" t="s">
        <v>661</v>
      </c>
      <c r="D271" s="7">
        <v>8</v>
      </c>
      <c r="E271" s="8">
        <v>735</v>
      </c>
      <c r="F271" s="9">
        <v>0.15</v>
      </c>
      <c r="G271" s="8">
        <f t="shared" si="12"/>
        <v>4998</v>
      </c>
      <c r="H271" s="8">
        <f t="shared" si="13"/>
        <v>3822</v>
      </c>
      <c r="I271" s="8">
        <f t="shared" si="14"/>
        <v>1176</v>
      </c>
      <c r="J271" s="7" t="s">
        <v>23</v>
      </c>
      <c r="K271" s="7" t="s">
        <v>61</v>
      </c>
      <c r="L271" s="10" t="s">
        <v>16</v>
      </c>
    </row>
    <row r="272" spans="1:12" x14ac:dyDescent="0.3">
      <c r="A272" s="6" t="s">
        <v>320</v>
      </c>
      <c r="B272" s="18">
        <v>45794</v>
      </c>
      <c r="C272" s="18" t="s">
        <v>661</v>
      </c>
      <c r="D272" s="7">
        <v>3</v>
      </c>
      <c r="E272" s="8">
        <v>665</v>
      </c>
      <c r="F272" s="9">
        <v>0.2</v>
      </c>
      <c r="G272" s="8">
        <f t="shared" si="12"/>
        <v>1596</v>
      </c>
      <c r="H272" s="8">
        <f t="shared" si="13"/>
        <v>1296.75</v>
      </c>
      <c r="I272" s="8">
        <f t="shared" si="14"/>
        <v>299.25</v>
      </c>
      <c r="J272" s="7" t="s">
        <v>23</v>
      </c>
      <c r="K272" s="7" t="s">
        <v>24</v>
      </c>
      <c r="L272" s="10" t="s">
        <v>16</v>
      </c>
    </row>
    <row r="273" spans="1:12" x14ac:dyDescent="0.3">
      <c r="A273" s="6" t="s">
        <v>321</v>
      </c>
      <c r="B273" s="18">
        <v>45886</v>
      </c>
      <c r="C273" s="18" t="s">
        <v>13</v>
      </c>
      <c r="D273" s="7">
        <v>5</v>
      </c>
      <c r="E273" s="8">
        <v>49400</v>
      </c>
      <c r="F273" s="9">
        <v>0.15</v>
      </c>
      <c r="G273" s="8">
        <f t="shared" si="12"/>
        <v>209950</v>
      </c>
      <c r="H273" s="8">
        <f t="shared" si="13"/>
        <v>160550</v>
      </c>
      <c r="I273" s="8">
        <f t="shared" si="14"/>
        <v>49400</v>
      </c>
      <c r="J273" s="7" t="s">
        <v>23</v>
      </c>
      <c r="K273" s="7" t="s">
        <v>72</v>
      </c>
      <c r="L273" s="10" t="s">
        <v>21</v>
      </c>
    </row>
    <row r="274" spans="1:12" x14ac:dyDescent="0.3">
      <c r="A274" s="6" t="s">
        <v>322</v>
      </c>
      <c r="B274" s="18">
        <v>45911</v>
      </c>
      <c r="C274" s="18" t="s">
        <v>56</v>
      </c>
      <c r="D274" s="7">
        <v>3</v>
      </c>
      <c r="E274" s="8">
        <v>9800</v>
      </c>
      <c r="F274" s="9">
        <v>0.1</v>
      </c>
      <c r="G274" s="8">
        <f t="shared" si="12"/>
        <v>26460</v>
      </c>
      <c r="H274" s="8">
        <f t="shared" si="13"/>
        <v>19110</v>
      </c>
      <c r="I274" s="8">
        <f t="shared" si="14"/>
        <v>7350</v>
      </c>
      <c r="J274" s="7" t="s">
        <v>14</v>
      </c>
      <c r="K274" s="7" t="s">
        <v>15</v>
      </c>
      <c r="L274" s="10" t="s">
        <v>21</v>
      </c>
    </row>
    <row r="275" spans="1:12" x14ac:dyDescent="0.3">
      <c r="A275" s="6" t="s">
        <v>323</v>
      </c>
      <c r="B275" s="18">
        <v>46087</v>
      </c>
      <c r="C275" s="18" t="s">
        <v>18</v>
      </c>
      <c r="D275" s="7">
        <v>4</v>
      </c>
      <c r="E275" s="8">
        <v>1710</v>
      </c>
      <c r="F275" s="9">
        <v>0.05</v>
      </c>
      <c r="G275" s="8">
        <f t="shared" si="12"/>
        <v>6498</v>
      </c>
      <c r="H275" s="8">
        <f t="shared" si="13"/>
        <v>4446</v>
      </c>
      <c r="I275" s="8">
        <f t="shared" si="14"/>
        <v>2052</v>
      </c>
      <c r="J275" s="7" t="s">
        <v>19</v>
      </c>
      <c r="K275" s="7" t="s">
        <v>70</v>
      </c>
      <c r="L275" s="10" t="s">
        <v>16</v>
      </c>
    </row>
    <row r="276" spans="1:12" x14ac:dyDescent="0.3">
      <c r="A276" s="6" t="s">
        <v>324</v>
      </c>
      <c r="B276" s="18">
        <v>45692</v>
      </c>
      <c r="C276" s="18" t="s">
        <v>56</v>
      </c>
      <c r="D276" s="7">
        <v>4</v>
      </c>
      <c r="E276" s="8">
        <v>9310</v>
      </c>
      <c r="F276" s="9">
        <v>0</v>
      </c>
      <c r="G276" s="8">
        <f t="shared" si="12"/>
        <v>37240</v>
      </c>
      <c r="H276" s="8">
        <f t="shared" si="13"/>
        <v>24206</v>
      </c>
      <c r="I276" s="8">
        <f t="shared" si="14"/>
        <v>13034</v>
      </c>
      <c r="J276" s="7" t="s">
        <v>23</v>
      </c>
      <c r="K276" s="7" t="s">
        <v>72</v>
      </c>
      <c r="L276" s="10" t="s">
        <v>21</v>
      </c>
    </row>
    <row r="277" spans="1:12" x14ac:dyDescent="0.3">
      <c r="A277" s="6" t="s">
        <v>325</v>
      </c>
      <c r="B277" s="18">
        <v>45880</v>
      </c>
      <c r="C277" s="18" t="s">
        <v>13</v>
      </c>
      <c r="D277" s="7">
        <v>5</v>
      </c>
      <c r="E277" s="8">
        <v>52000</v>
      </c>
      <c r="F277" s="9">
        <v>0.05</v>
      </c>
      <c r="G277" s="8">
        <f t="shared" si="12"/>
        <v>247000</v>
      </c>
      <c r="H277" s="8">
        <f t="shared" si="13"/>
        <v>169000</v>
      </c>
      <c r="I277" s="8">
        <f t="shared" si="14"/>
        <v>78000</v>
      </c>
      <c r="J277" s="7" t="s">
        <v>27</v>
      </c>
      <c r="K277" s="7" t="s">
        <v>31</v>
      </c>
      <c r="L277" s="10" t="s">
        <v>21</v>
      </c>
    </row>
    <row r="278" spans="1:12" x14ac:dyDescent="0.3">
      <c r="A278" s="6" t="s">
        <v>326</v>
      </c>
      <c r="B278" s="18">
        <v>45967</v>
      </c>
      <c r="C278" s="18" t="s">
        <v>88</v>
      </c>
      <c r="D278" s="7">
        <v>7</v>
      </c>
      <c r="E278" s="8">
        <v>1500</v>
      </c>
      <c r="F278" s="9">
        <v>0.1</v>
      </c>
      <c r="G278" s="8">
        <f t="shared" si="12"/>
        <v>9450</v>
      </c>
      <c r="H278" s="8">
        <f t="shared" si="13"/>
        <v>6825</v>
      </c>
      <c r="I278" s="8">
        <f t="shared" si="14"/>
        <v>2625</v>
      </c>
      <c r="J278" s="7" t="s">
        <v>27</v>
      </c>
      <c r="K278" s="7" t="s">
        <v>49</v>
      </c>
      <c r="L278" s="10" t="s">
        <v>16</v>
      </c>
    </row>
    <row r="279" spans="1:12" x14ac:dyDescent="0.3">
      <c r="A279" s="6" t="s">
        <v>327</v>
      </c>
      <c r="B279" s="18">
        <v>45837</v>
      </c>
      <c r="C279" s="18" t="s">
        <v>43</v>
      </c>
      <c r="D279" s="7">
        <v>1</v>
      </c>
      <c r="E279" s="8">
        <v>3360</v>
      </c>
      <c r="F279" s="9">
        <v>0.1</v>
      </c>
      <c r="G279" s="8">
        <f t="shared" si="12"/>
        <v>3024</v>
      </c>
      <c r="H279" s="8">
        <f t="shared" si="13"/>
        <v>2184</v>
      </c>
      <c r="I279" s="8">
        <f t="shared" si="14"/>
        <v>840</v>
      </c>
      <c r="J279" s="7" t="s">
        <v>23</v>
      </c>
      <c r="K279" s="7" t="s">
        <v>66</v>
      </c>
      <c r="L279" s="10" t="s">
        <v>16</v>
      </c>
    </row>
    <row r="280" spans="1:12" x14ac:dyDescent="0.3">
      <c r="A280" s="6" t="s">
        <v>328</v>
      </c>
      <c r="B280" s="18">
        <v>46084</v>
      </c>
      <c r="C280" s="18" t="s">
        <v>43</v>
      </c>
      <c r="D280" s="7">
        <v>5</v>
      </c>
      <c r="E280" s="8">
        <v>3200</v>
      </c>
      <c r="F280" s="9">
        <v>0.15</v>
      </c>
      <c r="G280" s="8">
        <f t="shared" si="12"/>
        <v>13600</v>
      </c>
      <c r="H280" s="8">
        <f t="shared" si="13"/>
        <v>10400</v>
      </c>
      <c r="I280" s="8">
        <f t="shared" si="14"/>
        <v>3200</v>
      </c>
      <c r="J280" s="7" t="s">
        <v>14</v>
      </c>
      <c r="K280" s="7" t="s">
        <v>47</v>
      </c>
      <c r="L280" s="10" t="s">
        <v>21</v>
      </c>
    </row>
    <row r="281" spans="1:12" x14ac:dyDescent="0.3">
      <c r="A281" s="6" t="s">
        <v>329</v>
      </c>
      <c r="B281" s="18">
        <v>45888</v>
      </c>
      <c r="C281" s="18" t="s">
        <v>60</v>
      </c>
      <c r="D281" s="7">
        <v>8</v>
      </c>
      <c r="E281" s="8">
        <v>2200</v>
      </c>
      <c r="F281" s="9">
        <v>0</v>
      </c>
      <c r="G281" s="8">
        <f t="shared" si="12"/>
        <v>17600</v>
      </c>
      <c r="H281" s="8">
        <f t="shared" si="13"/>
        <v>11440</v>
      </c>
      <c r="I281" s="8">
        <f t="shared" si="14"/>
        <v>6160</v>
      </c>
      <c r="J281" s="7" t="s">
        <v>23</v>
      </c>
      <c r="K281" s="7" t="s">
        <v>72</v>
      </c>
      <c r="L281" s="10" t="s">
        <v>16</v>
      </c>
    </row>
    <row r="282" spans="1:12" x14ac:dyDescent="0.3">
      <c r="A282" s="6" t="s">
        <v>330</v>
      </c>
      <c r="B282" s="18">
        <v>46200</v>
      </c>
      <c r="C282" s="18" t="s">
        <v>88</v>
      </c>
      <c r="D282" s="7">
        <v>4</v>
      </c>
      <c r="E282" s="8">
        <v>1575</v>
      </c>
      <c r="F282" s="9">
        <v>0.1</v>
      </c>
      <c r="G282" s="8">
        <f t="shared" si="12"/>
        <v>5670</v>
      </c>
      <c r="H282" s="8">
        <f t="shared" si="13"/>
        <v>4095</v>
      </c>
      <c r="I282" s="8">
        <f t="shared" si="14"/>
        <v>1575</v>
      </c>
      <c r="J282" s="7" t="s">
        <v>14</v>
      </c>
      <c r="K282" s="7" t="s">
        <v>36</v>
      </c>
      <c r="L282" s="10" t="s">
        <v>16</v>
      </c>
    </row>
    <row r="283" spans="1:12" x14ac:dyDescent="0.3">
      <c r="A283" s="6" t="s">
        <v>331</v>
      </c>
      <c r="B283" s="18">
        <v>45738</v>
      </c>
      <c r="C283" s="18" t="s">
        <v>56</v>
      </c>
      <c r="D283" s="7">
        <v>2</v>
      </c>
      <c r="E283" s="8">
        <v>9800</v>
      </c>
      <c r="F283" s="9">
        <v>0.2</v>
      </c>
      <c r="G283" s="8">
        <f t="shared" si="12"/>
        <v>15680</v>
      </c>
      <c r="H283" s="8">
        <f t="shared" si="13"/>
        <v>12740</v>
      </c>
      <c r="I283" s="8">
        <f t="shared" si="14"/>
        <v>2940</v>
      </c>
      <c r="J283" s="7" t="s">
        <v>14</v>
      </c>
      <c r="K283" s="7" t="s">
        <v>15</v>
      </c>
      <c r="L283" s="10" t="s">
        <v>25</v>
      </c>
    </row>
    <row r="284" spans="1:12" x14ac:dyDescent="0.3">
      <c r="A284" s="6" t="s">
        <v>332</v>
      </c>
      <c r="B284" s="18">
        <v>46044</v>
      </c>
      <c r="C284" s="18" t="s">
        <v>18</v>
      </c>
      <c r="D284" s="7">
        <v>2</v>
      </c>
      <c r="E284" s="8">
        <v>1710</v>
      </c>
      <c r="F284" s="9">
        <v>0.05</v>
      </c>
      <c r="G284" s="8">
        <f t="shared" si="12"/>
        <v>3249</v>
      </c>
      <c r="H284" s="8">
        <f t="shared" si="13"/>
        <v>2223</v>
      </c>
      <c r="I284" s="8">
        <f t="shared" si="14"/>
        <v>1026</v>
      </c>
      <c r="J284" s="7" t="s">
        <v>14</v>
      </c>
      <c r="K284" s="7" t="s">
        <v>47</v>
      </c>
      <c r="L284" s="10" t="s">
        <v>21</v>
      </c>
    </row>
    <row r="285" spans="1:12" x14ac:dyDescent="0.3">
      <c r="A285" s="6" t="s">
        <v>333</v>
      </c>
      <c r="B285" s="18">
        <v>45998</v>
      </c>
      <c r="C285" s="18" t="s">
        <v>60</v>
      </c>
      <c r="D285" s="7">
        <v>4</v>
      </c>
      <c r="E285" s="8">
        <v>2090</v>
      </c>
      <c r="F285" s="9">
        <v>0.05</v>
      </c>
      <c r="G285" s="8">
        <f t="shared" si="12"/>
        <v>7942</v>
      </c>
      <c r="H285" s="8">
        <f t="shared" si="13"/>
        <v>5434</v>
      </c>
      <c r="I285" s="8">
        <f t="shared" si="14"/>
        <v>2508</v>
      </c>
      <c r="J285" s="7" t="s">
        <v>19</v>
      </c>
      <c r="K285" s="7" t="s">
        <v>79</v>
      </c>
      <c r="L285" s="10" t="s">
        <v>21</v>
      </c>
    </row>
    <row r="286" spans="1:12" x14ac:dyDescent="0.3">
      <c r="A286" s="6" t="s">
        <v>334</v>
      </c>
      <c r="B286" s="18">
        <v>45867</v>
      </c>
      <c r="C286" s="18" t="s">
        <v>43</v>
      </c>
      <c r="D286" s="7">
        <v>6</v>
      </c>
      <c r="E286" s="8">
        <v>3200</v>
      </c>
      <c r="F286" s="9">
        <v>0.1</v>
      </c>
      <c r="G286" s="8">
        <f t="shared" si="12"/>
        <v>17280</v>
      </c>
      <c r="H286" s="8">
        <f t="shared" si="13"/>
        <v>12480</v>
      </c>
      <c r="I286" s="8">
        <f t="shared" si="14"/>
        <v>4800</v>
      </c>
      <c r="J286" s="7" t="s">
        <v>23</v>
      </c>
      <c r="K286" s="7" t="s">
        <v>72</v>
      </c>
      <c r="L286" s="10" t="s">
        <v>16</v>
      </c>
    </row>
    <row r="287" spans="1:12" x14ac:dyDescent="0.3">
      <c r="A287" s="6" t="s">
        <v>335</v>
      </c>
      <c r="B287" s="18">
        <v>46025</v>
      </c>
      <c r="C287" s="18" t="s">
        <v>60</v>
      </c>
      <c r="D287" s="7">
        <v>6</v>
      </c>
      <c r="E287" s="8">
        <v>2200</v>
      </c>
      <c r="F287" s="9">
        <v>0.2</v>
      </c>
      <c r="G287" s="8">
        <f t="shared" si="12"/>
        <v>10560</v>
      </c>
      <c r="H287" s="8">
        <f t="shared" si="13"/>
        <v>8580</v>
      </c>
      <c r="I287" s="8">
        <f t="shared" si="14"/>
        <v>1980</v>
      </c>
      <c r="J287" s="7" t="s">
        <v>23</v>
      </c>
      <c r="K287" s="7" t="s">
        <v>72</v>
      </c>
      <c r="L287" s="10" t="s">
        <v>21</v>
      </c>
    </row>
    <row r="288" spans="1:12" x14ac:dyDescent="0.3">
      <c r="A288" s="6" t="s">
        <v>336</v>
      </c>
      <c r="B288" s="18">
        <v>46138</v>
      </c>
      <c r="C288" s="18" t="s">
        <v>661</v>
      </c>
      <c r="D288" s="7">
        <v>6</v>
      </c>
      <c r="E288" s="8">
        <v>700</v>
      </c>
      <c r="F288" s="9">
        <v>0.1</v>
      </c>
      <c r="G288" s="8">
        <f t="shared" si="12"/>
        <v>3780</v>
      </c>
      <c r="H288" s="8">
        <f t="shared" si="13"/>
        <v>2730</v>
      </c>
      <c r="I288" s="8">
        <f t="shared" si="14"/>
        <v>1050</v>
      </c>
      <c r="J288" s="7" t="s">
        <v>23</v>
      </c>
      <c r="K288" s="7" t="s">
        <v>61</v>
      </c>
      <c r="L288" s="10" t="s">
        <v>16</v>
      </c>
    </row>
    <row r="289" spans="1:12" x14ac:dyDescent="0.3">
      <c r="A289" s="6" t="s">
        <v>337</v>
      </c>
      <c r="B289" s="18">
        <v>45884</v>
      </c>
      <c r="C289" s="18" t="s">
        <v>88</v>
      </c>
      <c r="D289" s="7">
        <v>5</v>
      </c>
      <c r="E289" s="8">
        <v>1425</v>
      </c>
      <c r="F289" s="9">
        <v>0.2</v>
      </c>
      <c r="G289" s="8">
        <f t="shared" si="12"/>
        <v>5700</v>
      </c>
      <c r="H289" s="8">
        <f t="shared" si="13"/>
        <v>4631.25</v>
      </c>
      <c r="I289" s="8">
        <f t="shared" si="14"/>
        <v>1068.75</v>
      </c>
      <c r="J289" s="7" t="s">
        <v>23</v>
      </c>
      <c r="K289" s="7" t="s">
        <v>66</v>
      </c>
      <c r="L289" s="10" t="s">
        <v>21</v>
      </c>
    </row>
    <row r="290" spans="1:12" x14ac:dyDescent="0.3">
      <c r="A290" s="6" t="s">
        <v>338</v>
      </c>
      <c r="B290" s="18">
        <v>45858</v>
      </c>
      <c r="C290" s="18" t="s">
        <v>661</v>
      </c>
      <c r="D290" s="7">
        <v>7</v>
      </c>
      <c r="E290" s="8">
        <v>700</v>
      </c>
      <c r="F290" s="9">
        <v>0.2</v>
      </c>
      <c r="G290" s="8">
        <f t="shared" si="12"/>
        <v>3920</v>
      </c>
      <c r="H290" s="8">
        <f t="shared" si="13"/>
        <v>3185</v>
      </c>
      <c r="I290" s="8">
        <f t="shared" si="14"/>
        <v>735</v>
      </c>
      <c r="J290" s="7" t="s">
        <v>14</v>
      </c>
      <c r="K290" s="7" t="s">
        <v>47</v>
      </c>
      <c r="L290" s="10" t="s">
        <v>16</v>
      </c>
    </row>
    <row r="291" spans="1:12" x14ac:dyDescent="0.3">
      <c r="A291" s="6" t="s">
        <v>339</v>
      </c>
      <c r="B291" s="18">
        <v>46003</v>
      </c>
      <c r="C291" s="18" t="s">
        <v>60</v>
      </c>
      <c r="D291" s="7">
        <v>8</v>
      </c>
      <c r="E291" s="8">
        <v>2310</v>
      </c>
      <c r="F291" s="9">
        <v>0.15</v>
      </c>
      <c r="G291" s="8">
        <f t="shared" si="12"/>
        <v>15708</v>
      </c>
      <c r="H291" s="8">
        <f t="shared" si="13"/>
        <v>12012</v>
      </c>
      <c r="I291" s="8">
        <f t="shared" si="14"/>
        <v>3696</v>
      </c>
      <c r="J291" s="7" t="s">
        <v>14</v>
      </c>
      <c r="K291" s="7" t="s">
        <v>36</v>
      </c>
      <c r="L291" s="10" t="s">
        <v>21</v>
      </c>
    </row>
    <row r="292" spans="1:12" x14ac:dyDescent="0.3">
      <c r="A292" s="6" t="s">
        <v>340</v>
      </c>
      <c r="B292" s="18">
        <v>45801</v>
      </c>
      <c r="C292" s="18" t="s">
        <v>51</v>
      </c>
      <c r="D292" s="7">
        <v>3</v>
      </c>
      <c r="E292" s="8">
        <v>2730</v>
      </c>
      <c r="F292" s="9">
        <v>0.2</v>
      </c>
      <c r="G292" s="8">
        <f t="shared" si="12"/>
        <v>6552</v>
      </c>
      <c r="H292" s="8">
        <f t="shared" si="13"/>
        <v>5323.5</v>
      </c>
      <c r="I292" s="8">
        <f t="shared" si="14"/>
        <v>1228.5</v>
      </c>
      <c r="J292" s="7" t="s">
        <v>19</v>
      </c>
      <c r="K292" s="7" t="s">
        <v>70</v>
      </c>
      <c r="L292" s="10" t="s">
        <v>21</v>
      </c>
    </row>
    <row r="293" spans="1:12" x14ac:dyDescent="0.3">
      <c r="A293" s="6" t="s">
        <v>341</v>
      </c>
      <c r="B293" s="18">
        <v>45707</v>
      </c>
      <c r="C293" s="18" t="s">
        <v>13</v>
      </c>
      <c r="D293" s="7">
        <v>3</v>
      </c>
      <c r="E293" s="8">
        <v>54600</v>
      </c>
      <c r="F293" s="9">
        <v>0.05</v>
      </c>
      <c r="G293" s="8">
        <f t="shared" si="12"/>
        <v>155610</v>
      </c>
      <c r="H293" s="8">
        <f t="shared" si="13"/>
        <v>106470</v>
      </c>
      <c r="I293" s="8">
        <f t="shared" si="14"/>
        <v>49140</v>
      </c>
      <c r="J293" s="7" t="s">
        <v>19</v>
      </c>
      <c r="K293" s="7" t="s">
        <v>20</v>
      </c>
      <c r="L293" s="10" t="s">
        <v>21</v>
      </c>
    </row>
    <row r="294" spans="1:12" x14ac:dyDescent="0.3">
      <c r="A294" s="6" t="s">
        <v>342</v>
      </c>
      <c r="B294" s="18">
        <v>45881</v>
      </c>
      <c r="C294" s="18" t="s">
        <v>51</v>
      </c>
      <c r="D294" s="7">
        <v>6</v>
      </c>
      <c r="E294" s="8">
        <v>2730</v>
      </c>
      <c r="F294" s="9">
        <v>0</v>
      </c>
      <c r="G294" s="8">
        <f t="shared" si="12"/>
        <v>16380</v>
      </c>
      <c r="H294" s="8">
        <f t="shared" si="13"/>
        <v>10647</v>
      </c>
      <c r="I294" s="8">
        <f t="shared" si="14"/>
        <v>5733</v>
      </c>
      <c r="J294" s="7" t="s">
        <v>23</v>
      </c>
      <c r="K294" s="7" t="s">
        <v>72</v>
      </c>
      <c r="L294" s="10" t="s">
        <v>21</v>
      </c>
    </row>
    <row r="295" spans="1:12" x14ac:dyDescent="0.3">
      <c r="A295" s="6" t="s">
        <v>343</v>
      </c>
      <c r="B295" s="18">
        <v>45664</v>
      </c>
      <c r="C295" s="18" t="s">
        <v>51</v>
      </c>
      <c r="D295" s="7">
        <v>1</v>
      </c>
      <c r="E295" s="8">
        <v>2730</v>
      </c>
      <c r="F295" s="9">
        <v>0</v>
      </c>
      <c r="G295" s="8">
        <f t="shared" si="12"/>
        <v>2730</v>
      </c>
      <c r="H295" s="8">
        <f t="shared" si="13"/>
        <v>1774.5</v>
      </c>
      <c r="I295" s="8">
        <f t="shared" si="14"/>
        <v>955.5</v>
      </c>
      <c r="J295" s="7" t="s">
        <v>27</v>
      </c>
      <c r="K295" s="7" t="s">
        <v>31</v>
      </c>
      <c r="L295" s="10" t="s">
        <v>21</v>
      </c>
    </row>
    <row r="296" spans="1:12" x14ac:dyDescent="0.3">
      <c r="A296" s="6" t="s">
        <v>344</v>
      </c>
      <c r="B296" s="18">
        <v>46172</v>
      </c>
      <c r="C296" s="18" t="s">
        <v>43</v>
      </c>
      <c r="D296" s="7">
        <v>2</v>
      </c>
      <c r="E296" s="8">
        <v>3200</v>
      </c>
      <c r="F296" s="9">
        <v>0</v>
      </c>
      <c r="G296" s="8">
        <f t="shared" si="12"/>
        <v>6400</v>
      </c>
      <c r="H296" s="8">
        <f t="shared" si="13"/>
        <v>4160</v>
      </c>
      <c r="I296" s="8">
        <f t="shared" si="14"/>
        <v>2240</v>
      </c>
      <c r="J296" s="7" t="s">
        <v>14</v>
      </c>
      <c r="K296" s="7" t="s">
        <v>40</v>
      </c>
      <c r="L296" s="10" t="s">
        <v>21</v>
      </c>
    </row>
    <row r="297" spans="1:12" x14ac:dyDescent="0.3">
      <c r="A297" s="6" t="s">
        <v>345</v>
      </c>
      <c r="B297" s="18">
        <v>46197</v>
      </c>
      <c r="C297" s="18" t="s">
        <v>60</v>
      </c>
      <c r="D297" s="7">
        <v>5</v>
      </c>
      <c r="E297" s="8">
        <v>2200</v>
      </c>
      <c r="F297" s="9">
        <v>0.15</v>
      </c>
      <c r="G297" s="8">
        <f t="shared" si="12"/>
        <v>9350</v>
      </c>
      <c r="H297" s="8">
        <f t="shared" si="13"/>
        <v>7150</v>
      </c>
      <c r="I297" s="8">
        <f t="shared" si="14"/>
        <v>2200</v>
      </c>
      <c r="J297" s="7" t="s">
        <v>19</v>
      </c>
      <c r="K297" s="7" t="s">
        <v>34</v>
      </c>
      <c r="L297" s="10" t="s">
        <v>25</v>
      </c>
    </row>
    <row r="298" spans="1:12" x14ac:dyDescent="0.3">
      <c r="A298" s="6" t="s">
        <v>346</v>
      </c>
      <c r="B298" s="18">
        <v>46128</v>
      </c>
      <c r="C298" s="18" t="s">
        <v>18</v>
      </c>
      <c r="D298" s="7">
        <v>4</v>
      </c>
      <c r="E298" s="8">
        <v>1800</v>
      </c>
      <c r="F298" s="9">
        <v>0.1</v>
      </c>
      <c r="G298" s="8">
        <f t="shared" si="12"/>
        <v>6480</v>
      </c>
      <c r="H298" s="8">
        <f t="shared" si="13"/>
        <v>4680</v>
      </c>
      <c r="I298" s="8">
        <f t="shared" si="14"/>
        <v>1800</v>
      </c>
      <c r="J298" s="7" t="s">
        <v>19</v>
      </c>
      <c r="K298" s="7" t="s">
        <v>70</v>
      </c>
      <c r="L298" s="10" t="s">
        <v>21</v>
      </c>
    </row>
    <row r="299" spans="1:12" x14ac:dyDescent="0.3">
      <c r="A299" s="6" t="s">
        <v>347</v>
      </c>
      <c r="B299" s="18">
        <v>46073</v>
      </c>
      <c r="C299" s="18" t="s">
        <v>43</v>
      </c>
      <c r="D299" s="7">
        <v>8</v>
      </c>
      <c r="E299" s="8">
        <v>3360</v>
      </c>
      <c r="F299" s="9">
        <v>0</v>
      </c>
      <c r="G299" s="8">
        <f t="shared" si="12"/>
        <v>26880</v>
      </c>
      <c r="H299" s="8">
        <f t="shared" si="13"/>
        <v>17472</v>
      </c>
      <c r="I299" s="8">
        <f t="shared" si="14"/>
        <v>9408</v>
      </c>
      <c r="J299" s="7" t="s">
        <v>19</v>
      </c>
      <c r="K299" s="7" t="s">
        <v>20</v>
      </c>
      <c r="L299" s="10" t="s">
        <v>21</v>
      </c>
    </row>
    <row r="300" spans="1:12" x14ac:dyDescent="0.3">
      <c r="A300" s="6" t="s">
        <v>348</v>
      </c>
      <c r="B300" s="18">
        <v>46169</v>
      </c>
      <c r="C300" s="18" t="s">
        <v>43</v>
      </c>
      <c r="D300" s="7">
        <v>2</v>
      </c>
      <c r="E300" s="8">
        <v>3200</v>
      </c>
      <c r="F300" s="9">
        <v>0.2</v>
      </c>
      <c r="G300" s="8">
        <f t="shared" si="12"/>
        <v>5120</v>
      </c>
      <c r="H300" s="8">
        <f t="shared" si="13"/>
        <v>4160</v>
      </c>
      <c r="I300" s="8">
        <f t="shared" si="14"/>
        <v>960</v>
      </c>
      <c r="J300" s="7" t="s">
        <v>19</v>
      </c>
      <c r="K300" s="7" t="s">
        <v>20</v>
      </c>
      <c r="L300" s="10" t="s">
        <v>21</v>
      </c>
    </row>
    <row r="301" spans="1:12" x14ac:dyDescent="0.3">
      <c r="A301" s="6" t="s">
        <v>349</v>
      </c>
      <c r="B301" s="18">
        <v>46144</v>
      </c>
      <c r="C301" s="18" t="s">
        <v>60</v>
      </c>
      <c r="D301" s="7">
        <v>2</v>
      </c>
      <c r="E301" s="8">
        <v>2090</v>
      </c>
      <c r="F301" s="9">
        <v>0.1</v>
      </c>
      <c r="G301" s="8">
        <f t="shared" si="12"/>
        <v>3762</v>
      </c>
      <c r="H301" s="8">
        <f t="shared" si="13"/>
        <v>2717</v>
      </c>
      <c r="I301" s="8">
        <f t="shared" si="14"/>
        <v>1045</v>
      </c>
      <c r="J301" s="7" t="s">
        <v>19</v>
      </c>
      <c r="K301" s="7" t="s">
        <v>20</v>
      </c>
      <c r="L301" s="10" t="s">
        <v>25</v>
      </c>
    </row>
    <row r="302" spans="1:12" x14ac:dyDescent="0.3">
      <c r="A302" s="6" t="s">
        <v>350</v>
      </c>
      <c r="B302" s="18">
        <v>45674</v>
      </c>
      <c r="C302" s="18" t="s">
        <v>39</v>
      </c>
      <c r="D302" s="7">
        <v>7</v>
      </c>
      <c r="E302" s="8">
        <v>12500</v>
      </c>
      <c r="F302" s="9">
        <v>0</v>
      </c>
      <c r="G302" s="8">
        <f t="shared" si="12"/>
        <v>87500</v>
      </c>
      <c r="H302" s="8">
        <f t="shared" si="13"/>
        <v>56875</v>
      </c>
      <c r="I302" s="8">
        <f t="shared" si="14"/>
        <v>30625</v>
      </c>
      <c r="J302" s="7" t="s">
        <v>27</v>
      </c>
      <c r="K302" s="7" t="s">
        <v>28</v>
      </c>
      <c r="L302" s="10" t="s">
        <v>16</v>
      </c>
    </row>
    <row r="303" spans="1:12" x14ac:dyDescent="0.3">
      <c r="A303" s="6" t="s">
        <v>351</v>
      </c>
      <c r="B303" s="18">
        <v>45904</v>
      </c>
      <c r="C303" s="18" t="s">
        <v>18</v>
      </c>
      <c r="D303" s="7">
        <v>6</v>
      </c>
      <c r="E303" s="8">
        <v>1890</v>
      </c>
      <c r="F303" s="9">
        <v>0.15</v>
      </c>
      <c r="G303" s="8">
        <f t="shared" si="12"/>
        <v>9639</v>
      </c>
      <c r="H303" s="8">
        <f t="shared" si="13"/>
        <v>7371</v>
      </c>
      <c r="I303" s="8">
        <f t="shared" si="14"/>
        <v>2268</v>
      </c>
      <c r="J303" s="7" t="s">
        <v>14</v>
      </c>
      <c r="K303" s="7" t="s">
        <v>15</v>
      </c>
      <c r="L303" s="10" t="s">
        <v>16</v>
      </c>
    </row>
    <row r="304" spans="1:12" x14ac:dyDescent="0.3">
      <c r="A304" s="6" t="s">
        <v>352</v>
      </c>
      <c r="B304" s="18">
        <v>46012</v>
      </c>
      <c r="C304" s="18" t="s">
        <v>13</v>
      </c>
      <c r="D304" s="7">
        <v>7</v>
      </c>
      <c r="E304" s="8">
        <v>49400</v>
      </c>
      <c r="F304" s="9">
        <v>0.05</v>
      </c>
      <c r="G304" s="8">
        <f t="shared" si="12"/>
        <v>328510</v>
      </c>
      <c r="H304" s="8">
        <f t="shared" si="13"/>
        <v>224770</v>
      </c>
      <c r="I304" s="8">
        <f t="shared" si="14"/>
        <v>103740</v>
      </c>
      <c r="J304" s="7" t="s">
        <v>19</v>
      </c>
      <c r="K304" s="7" t="s">
        <v>34</v>
      </c>
      <c r="L304" s="10" t="s">
        <v>16</v>
      </c>
    </row>
    <row r="305" spans="1:12" x14ac:dyDescent="0.3">
      <c r="A305" s="6" t="s">
        <v>353</v>
      </c>
      <c r="B305" s="18">
        <v>46064</v>
      </c>
      <c r="C305" s="18" t="s">
        <v>661</v>
      </c>
      <c r="D305" s="7">
        <v>5</v>
      </c>
      <c r="E305" s="8">
        <v>665</v>
      </c>
      <c r="F305" s="9">
        <v>0.15</v>
      </c>
      <c r="G305" s="8">
        <f t="shared" si="12"/>
        <v>2826.25</v>
      </c>
      <c r="H305" s="8">
        <f t="shared" si="13"/>
        <v>2161.25</v>
      </c>
      <c r="I305" s="8">
        <f t="shared" si="14"/>
        <v>665</v>
      </c>
      <c r="J305" s="7" t="s">
        <v>23</v>
      </c>
      <c r="K305" s="7" t="s">
        <v>24</v>
      </c>
      <c r="L305" s="10" t="s">
        <v>25</v>
      </c>
    </row>
    <row r="306" spans="1:12" x14ac:dyDescent="0.3">
      <c r="A306" s="6" t="s">
        <v>354</v>
      </c>
      <c r="B306" s="18">
        <v>46042</v>
      </c>
      <c r="C306" s="18" t="s">
        <v>43</v>
      </c>
      <c r="D306" s="7">
        <v>7</v>
      </c>
      <c r="E306" s="8">
        <v>3200</v>
      </c>
      <c r="F306" s="9">
        <v>0</v>
      </c>
      <c r="G306" s="8">
        <f t="shared" si="12"/>
        <v>22400</v>
      </c>
      <c r="H306" s="8">
        <f t="shared" si="13"/>
        <v>14560</v>
      </c>
      <c r="I306" s="8">
        <f t="shared" si="14"/>
        <v>7840</v>
      </c>
      <c r="J306" s="7" t="s">
        <v>27</v>
      </c>
      <c r="K306" s="7" t="s">
        <v>28</v>
      </c>
      <c r="L306" s="10" t="s">
        <v>16</v>
      </c>
    </row>
    <row r="307" spans="1:12" x14ac:dyDescent="0.3">
      <c r="A307" s="6" t="s">
        <v>355</v>
      </c>
      <c r="B307" s="18">
        <v>45733</v>
      </c>
      <c r="C307" s="18" t="s">
        <v>30</v>
      </c>
      <c r="D307" s="7">
        <v>3</v>
      </c>
      <c r="E307" s="8">
        <v>650</v>
      </c>
      <c r="F307" s="9">
        <v>0.15</v>
      </c>
      <c r="G307" s="8">
        <f t="shared" si="12"/>
        <v>1657.5</v>
      </c>
      <c r="H307" s="8">
        <f t="shared" si="13"/>
        <v>1267.5</v>
      </c>
      <c r="I307" s="8">
        <f t="shared" si="14"/>
        <v>390</v>
      </c>
      <c r="J307" s="7" t="s">
        <v>14</v>
      </c>
      <c r="K307" s="7" t="s">
        <v>47</v>
      </c>
      <c r="L307" s="10" t="s">
        <v>25</v>
      </c>
    </row>
    <row r="308" spans="1:12" x14ac:dyDescent="0.3">
      <c r="A308" s="6" t="s">
        <v>356</v>
      </c>
      <c r="B308" s="18">
        <v>46027</v>
      </c>
      <c r="C308" s="18" t="s">
        <v>30</v>
      </c>
      <c r="D308" s="7">
        <v>1</v>
      </c>
      <c r="E308" s="8">
        <v>617.5</v>
      </c>
      <c r="F308" s="9">
        <v>0.1</v>
      </c>
      <c r="G308" s="8">
        <f t="shared" si="12"/>
        <v>555.75</v>
      </c>
      <c r="H308" s="8">
        <f t="shared" si="13"/>
        <v>401.375</v>
      </c>
      <c r="I308" s="8">
        <f t="shared" si="14"/>
        <v>154.375</v>
      </c>
      <c r="J308" s="7" t="s">
        <v>23</v>
      </c>
      <c r="K308" s="7" t="s">
        <v>66</v>
      </c>
      <c r="L308" s="10" t="s">
        <v>25</v>
      </c>
    </row>
    <row r="309" spans="1:12" x14ac:dyDescent="0.3">
      <c r="A309" s="6" t="s">
        <v>357</v>
      </c>
      <c r="B309" s="18">
        <v>45762</v>
      </c>
      <c r="C309" s="18" t="s">
        <v>88</v>
      </c>
      <c r="D309" s="7">
        <v>3</v>
      </c>
      <c r="E309" s="8">
        <v>1425</v>
      </c>
      <c r="F309" s="9">
        <v>0.15</v>
      </c>
      <c r="G309" s="8">
        <f t="shared" si="12"/>
        <v>3633.75</v>
      </c>
      <c r="H309" s="8">
        <f t="shared" si="13"/>
        <v>2778.75</v>
      </c>
      <c r="I309" s="8">
        <f t="shared" si="14"/>
        <v>855</v>
      </c>
      <c r="J309" s="7" t="s">
        <v>23</v>
      </c>
      <c r="K309" s="7" t="s">
        <v>72</v>
      </c>
      <c r="L309" s="10" t="s">
        <v>21</v>
      </c>
    </row>
    <row r="310" spans="1:12" x14ac:dyDescent="0.3">
      <c r="A310" s="6" t="s">
        <v>358</v>
      </c>
      <c r="B310" s="18">
        <v>45684</v>
      </c>
      <c r="C310" s="18" t="s">
        <v>30</v>
      </c>
      <c r="D310" s="7">
        <v>2</v>
      </c>
      <c r="E310" s="8">
        <v>650</v>
      </c>
      <c r="F310" s="9">
        <v>0.2</v>
      </c>
      <c r="G310" s="8">
        <f t="shared" si="12"/>
        <v>1040</v>
      </c>
      <c r="H310" s="8">
        <f t="shared" si="13"/>
        <v>845</v>
      </c>
      <c r="I310" s="8">
        <f t="shared" si="14"/>
        <v>195</v>
      </c>
      <c r="J310" s="7" t="s">
        <v>27</v>
      </c>
      <c r="K310" s="7" t="s">
        <v>52</v>
      </c>
      <c r="L310" s="10" t="s">
        <v>21</v>
      </c>
    </row>
    <row r="311" spans="1:12" x14ac:dyDescent="0.3">
      <c r="A311" s="6" t="s">
        <v>359</v>
      </c>
      <c r="B311" s="18">
        <v>45956</v>
      </c>
      <c r="C311" s="18" t="s">
        <v>43</v>
      </c>
      <c r="D311" s="7">
        <v>2</v>
      </c>
      <c r="E311" s="8">
        <v>3360</v>
      </c>
      <c r="F311" s="9">
        <v>0.2</v>
      </c>
      <c r="G311" s="8">
        <f t="shared" si="12"/>
        <v>5376</v>
      </c>
      <c r="H311" s="8">
        <f t="shared" si="13"/>
        <v>4368</v>
      </c>
      <c r="I311" s="8">
        <f t="shared" si="14"/>
        <v>1008</v>
      </c>
      <c r="J311" s="7" t="s">
        <v>14</v>
      </c>
      <c r="K311" s="7" t="s">
        <v>40</v>
      </c>
      <c r="L311" s="10" t="s">
        <v>16</v>
      </c>
    </row>
    <row r="312" spans="1:12" x14ac:dyDescent="0.3">
      <c r="A312" s="6" t="s">
        <v>360</v>
      </c>
      <c r="B312" s="18">
        <v>46047</v>
      </c>
      <c r="C312" s="18" t="s">
        <v>88</v>
      </c>
      <c r="D312" s="7">
        <v>5</v>
      </c>
      <c r="E312" s="8">
        <v>1500</v>
      </c>
      <c r="F312" s="9">
        <v>0.1</v>
      </c>
      <c r="G312" s="8">
        <f t="shared" si="12"/>
        <v>6750</v>
      </c>
      <c r="H312" s="8">
        <f t="shared" si="13"/>
        <v>4875</v>
      </c>
      <c r="I312" s="8">
        <f t="shared" si="14"/>
        <v>1875</v>
      </c>
      <c r="J312" s="7" t="s">
        <v>27</v>
      </c>
      <c r="K312" s="7" t="s">
        <v>52</v>
      </c>
      <c r="L312" s="10" t="s">
        <v>21</v>
      </c>
    </row>
    <row r="313" spans="1:12" x14ac:dyDescent="0.3">
      <c r="A313" s="6" t="s">
        <v>361</v>
      </c>
      <c r="B313" s="18">
        <v>45722</v>
      </c>
      <c r="C313" s="18" t="s">
        <v>88</v>
      </c>
      <c r="D313" s="7">
        <v>5</v>
      </c>
      <c r="E313" s="8">
        <v>1575</v>
      </c>
      <c r="F313" s="9">
        <v>0.15</v>
      </c>
      <c r="G313" s="8">
        <f t="shared" si="12"/>
        <v>6693.75</v>
      </c>
      <c r="H313" s="8">
        <f t="shared" si="13"/>
        <v>5118.75</v>
      </c>
      <c r="I313" s="8">
        <f t="shared" si="14"/>
        <v>1575</v>
      </c>
      <c r="J313" s="7" t="s">
        <v>27</v>
      </c>
      <c r="K313" s="7" t="s">
        <v>52</v>
      </c>
      <c r="L313" s="10" t="s">
        <v>21</v>
      </c>
    </row>
    <row r="314" spans="1:12" x14ac:dyDescent="0.3">
      <c r="A314" s="6" t="s">
        <v>362</v>
      </c>
      <c r="B314" s="18">
        <v>46027</v>
      </c>
      <c r="C314" s="18" t="s">
        <v>60</v>
      </c>
      <c r="D314" s="7">
        <v>8</v>
      </c>
      <c r="E314" s="8">
        <v>2200</v>
      </c>
      <c r="F314" s="9">
        <v>0.2</v>
      </c>
      <c r="G314" s="8">
        <f t="shared" si="12"/>
        <v>14080</v>
      </c>
      <c r="H314" s="8">
        <f t="shared" si="13"/>
        <v>11440</v>
      </c>
      <c r="I314" s="8">
        <f t="shared" si="14"/>
        <v>2640</v>
      </c>
      <c r="J314" s="7" t="s">
        <v>14</v>
      </c>
      <c r="K314" s="7" t="s">
        <v>47</v>
      </c>
      <c r="L314" s="10" t="s">
        <v>21</v>
      </c>
    </row>
    <row r="315" spans="1:12" x14ac:dyDescent="0.3">
      <c r="A315" s="6" t="s">
        <v>363</v>
      </c>
      <c r="B315" s="18">
        <v>45796</v>
      </c>
      <c r="C315" s="18" t="s">
        <v>60</v>
      </c>
      <c r="D315" s="7">
        <v>7</v>
      </c>
      <c r="E315" s="8">
        <v>2090</v>
      </c>
      <c r="F315" s="9">
        <v>0.1</v>
      </c>
      <c r="G315" s="8">
        <f t="shared" si="12"/>
        <v>13167</v>
      </c>
      <c r="H315" s="8">
        <f t="shared" si="13"/>
        <v>9509.5</v>
      </c>
      <c r="I315" s="8">
        <f t="shared" si="14"/>
        <v>3657.5</v>
      </c>
      <c r="J315" s="7" t="s">
        <v>23</v>
      </c>
      <c r="K315" s="7" t="s">
        <v>66</v>
      </c>
      <c r="L315" s="10" t="s">
        <v>25</v>
      </c>
    </row>
    <row r="316" spans="1:12" x14ac:dyDescent="0.3">
      <c r="A316" s="6" t="s">
        <v>364</v>
      </c>
      <c r="B316" s="18">
        <v>46000</v>
      </c>
      <c r="C316" s="18" t="s">
        <v>43</v>
      </c>
      <c r="D316" s="7">
        <v>5</v>
      </c>
      <c r="E316" s="8">
        <v>3200</v>
      </c>
      <c r="F316" s="9">
        <v>0.1</v>
      </c>
      <c r="G316" s="8">
        <f t="shared" si="12"/>
        <v>14400</v>
      </c>
      <c r="H316" s="8">
        <f t="shared" si="13"/>
        <v>10400</v>
      </c>
      <c r="I316" s="8">
        <f t="shared" si="14"/>
        <v>4000</v>
      </c>
      <c r="J316" s="7" t="s">
        <v>14</v>
      </c>
      <c r="K316" s="7" t="s">
        <v>47</v>
      </c>
      <c r="L316" s="10" t="s">
        <v>25</v>
      </c>
    </row>
    <row r="317" spans="1:12" x14ac:dyDescent="0.3">
      <c r="A317" s="6" t="s">
        <v>365</v>
      </c>
      <c r="B317" s="18">
        <v>45839</v>
      </c>
      <c r="C317" s="18" t="s">
        <v>43</v>
      </c>
      <c r="D317" s="7">
        <v>5</v>
      </c>
      <c r="E317" s="8">
        <v>3200</v>
      </c>
      <c r="F317" s="9">
        <v>0.15</v>
      </c>
      <c r="G317" s="8">
        <f t="shared" si="12"/>
        <v>13600</v>
      </c>
      <c r="H317" s="8">
        <f t="shared" si="13"/>
        <v>10400</v>
      </c>
      <c r="I317" s="8">
        <f t="shared" si="14"/>
        <v>3200</v>
      </c>
      <c r="J317" s="7" t="s">
        <v>14</v>
      </c>
      <c r="K317" s="7" t="s">
        <v>36</v>
      </c>
      <c r="L317" s="10" t="s">
        <v>25</v>
      </c>
    </row>
    <row r="318" spans="1:12" x14ac:dyDescent="0.3">
      <c r="A318" s="6" t="s">
        <v>366</v>
      </c>
      <c r="B318" s="18">
        <v>45945</v>
      </c>
      <c r="C318" s="18" t="s">
        <v>43</v>
      </c>
      <c r="D318" s="7">
        <v>2</v>
      </c>
      <c r="E318" s="8">
        <v>3200</v>
      </c>
      <c r="F318" s="9">
        <v>0.2</v>
      </c>
      <c r="G318" s="8">
        <f t="shared" si="12"/>
        <v>5120</v>
      </c>
      <c r="H318" s="8">
        <f t="shared" si="13"/>
        <v>4160</v>
      </c>
      <c r="I318" s="8">
        <f t="shared" si="14"/>
        <v>960</v>
      </c>
      <c r="J318" s="7" t="s">
        <v>14</v>
      </c>
      <c r="K318" s="7" t="s">
        <v>40</v>
      </c>
      <c r="L318" s="10" t="s">
        <v>16</v>
      </c>
    </row>
    <row r="319" spans="1:12" x14ac:dyDescent="0.3">
      <c r="A319" s="6" t="s">
        <v>367</v>
      </c>
      <c r="B319" s="18">
        <v>45685</v>
      </c>
      <c r="C319" s="18" t="s">
        <v>56</v>
      </c>
      <c r="D319" s="7">
        <v>8</v>
      </c>
      <c r="E319" s="8">
        <v>9800</v>
      </c>
      <c r="F319" s="9">
        <v>0.1</v>
      </c>
      <c r="G319" s="8">
        <f t="shared" si="12"/>
        <v>70560</v>
      </c>
      <c r="H319" s="8">
        <f t="shared" si="13"/>
        <v>50960</v>
      </c>
      <c r="I319" s="8">
        <f t="shared" si="14"/>
        <v>19600</v>
      </c>
      <c r="J319" s="7" t="s">
        <v>19</v>
      </c>
      <c r="K319" s="7" t="s">
        <v>79</v>
      </c>
      <c r="L319" s="10" t="s">
        <v>16</v>
      </c>
    </row>
    <row r="320" spans="1:12" x14ac:dyDescent="0.3">
      <c r="A320" s="6" t="s">
        <v>368</v>
      </c>
      <c r="B320" s="18">
        <v>46169</v>
      </c>
      <c r="C320" s="18" t="s">
        <v>88</v>
      </c>
      <c r="D320" s="7">
        <v>4</v>
      </c>
      <c r="E320" s="8">
        <v>1500</v>
      </c>
      <c r="F320" s="9">
        <v>0.1</v>
      </c>
      <c r="G320" s="8">
        <f t="shared" si="12"/>
        <v>5400</v>
      </c>
      <c r="H320" s="8">
        <f t="shared" si="13"/>
        <v>3900</v>
      </c>
      <c r="I320" s="8">
        <f t="shared" si="14"/>
        <v>1500</v>
      </c>
      <c r="J320" s="7" t="s">
        <v>14</v>
      </c>
      <c r="K320" s="7" t="s">
        <v>47</v>
      </c>
      <c r="L320" s="10" t="s">
        <v>25</v>
      </c>
    </row>
    <row r="321" spans="1:12" x14ac:dyDescent="0.3">
      <c r="A321" s="6" t="s">
        <v>369</v>
      </c>
      <c r="B321" s="18">
        <v>45733</v>
      </c>
      <c r="C321" s="18" t="s">
        <v>56</v>
      </c>
      <c r="D321" s="7">
        <v>7</v>
      </c>
      <c r="E321" s="8">
        <v>10290</v>
      </c>
      <c r="F321" s="9">
        <v>0.2</v>
      </c>
      <c r="G321" s="8">
        <f t="shared" si="12"/>
        <v>57624</v>
      </c>
      <c r="H321" s="8">
        <f t="shared" si="13"/>
        <v>46819.5</v>
      </c>
      <c r="I321" s="8">
        <f t="shared" si="14"/>
        <v>10804.5</v>
      </c>
      <c r="J321" s="7" t="s">
        <v>23</v>
      </c>
      <c r="K321" s="7" t="s">
        <v>61</v>
      </c>
      <c r="L321" s="10" t="s">
        <v>25</v>
      </c>
    </row>
    <row r="322" spans="1:12" x14ac:dyDescent="0.3">
      <c r="A322" s="6" t="s">
        <v>370</v>
      </c>
      <c r="B322" s="18">
        <v>45745</v>
      </c>
      <c r="C322" s="18" t="s">
        <v>30</v>
      </c>
      <c r="D322" s="7">
        <v>6</v>
      </c>
      <c r="E322" s="8">
        <v>650</v>
      </c>
      <c r="F322" s="9">
        <v>0.05</v>
      </c>
      <c r="G322" s="8">
        <f t="shared" si="12"/>
        <v>3705</v>
      </c>
      <c r="H322" s="8">
        <f t="shared" si="13"/>
        <v>2535</v>
      </c>
      <c r="I322" s="8">
        <f t="shared" si="14"/>
        <v>1170</v>
      </c>
      <c r="J322" s="7" t="s">
        <v>19</v>
      </c>
      <c r="K322" s="7" t="s">
        <v>79</v>
      </c>
      <c r="L322" s="10" t="s">
        <v>25</v>
      </c>
    </row>
    <row r="323" spans="1:12" x14ac:dyDescent="0.3">
      <c r="A323" s="6" t="s">
        <v>371</v>
      </c>
      <c r="B323" s="18">
        <v>46098</v>
      </c>
      <c r="C323" s="18" t="s">
        <v>30</v>
      </c>
      <c r="D323" s="7">
        <v>2</v>
      </c>
      <c r="E323" s="8">
        <v>617.5</v>
      </c>
      <c r="F323" s="9">
        <v>0.1</v>
      </c>
      <c r="G323" s="8">
        <f t="shared" ref="G323:G386" si="15">D323*E323*(1-F323)</f>
        <v>1111.5</v>
      </c>
      <c r="H323" s="8">
        <f t="shared" ref="H323:H386" si="16">D323*E323*65%</f>
        <v>802.75</v>
      </c>
      <c r="I323" s="8">
        <f t="shared" ref="I323:I386" si="17">G323-H323</f>
        <v>308.75</v>
      </c>
      <c r="J323" s="7" t="s">
        <v>14</v>
      </c>
      <c r="K323" s="7" t="s">
        <v>40</v>
      </c>
      <c r="L323" s="10" t="s">
        <v>25</v>
      </c>
    </row>
    <row r="324" spans="1:12" x14ac:dyDescent="0.3">
      <c r="A324" s="6" t="s">
        <v>372</v>
      </c>
      <c r="B324" s="18">
        <v>46041</v>
      </c>
      <c r="C324" s="18" t="s">
        <v>43</v>
      </c>
      <c r="D324" s="7">
        <v>3</v>
      </c>
      <c r="E324" s="8">
        <v>3360</v>
      </c>
      <c r="F324" s="9">
        <v>0.1</v>
      </c>
      <c r="G324" s="8">
        <f t="shared" si="15"/>
        <v>9072</v>
      </c>
      <c r="H324" s="8">
        <f t="shared" si="16"/>
        <v>6552</v>
      </c>
      <c r="I324" s="8">
        <f t="shared" si="17"/>
        <v>2520</v>
      </c>
      <c r="J324" s="7" t="s">
        <v>19</v>
      </c>
      <c r="K324" s="7" t="s">
        <v>79</v>
      </c>
      <c r="L324" s="10" t="s">
        <v>21</v>
      </c>
    </row>
    <row r="325" spans="1:12" x14ac:dyDescent="0.3">
      <c r="A325" s="6" t="s">
        <v>373</v>
      </c>
      <c r="B325" s="18">
        <v>45960</v>
      </c>
      <c r="C325" s="18" t="s">
        <v>43</v>
      </c>
      <c r="D325" s="7">
        <v>2</v>
      </c>
      <c r="E325" s="8">
        <v>3040</v>
      </c>
      <c r="F325" s="9">
        <v>0.05</v>
      </c>
      <c r="G325" s="8">
        <f t="shared" si="15"/>
        <v>5776</v>
      </c>
      <c r="H325" s="8">
        <f t="shared" si="16"/>
        <v>3952</v>
      </c>
      <c r="I325" s="8">
        <f t="shared" si="17"/>
        <v>1824</v>
      </c>
      <c r="J325" s="7" t="s">
        <v>27</v>
      </c>
      <c r="K325" s="7" t="s">
        <v>31</v>
      </c>
      <c r="L325" s="10" t="s">
        <v>25</v>
      </c>
    </row>
    <row r="326" spans="1:12" x14ac:dyDescent="0.3">
      <c r="A326" s="6" t="s">
        <v>374</v>
      </c>
      <c r="B326" s="18">
        <v>46124</v>
      </c>
      <c r="C326" s="18" t="s">
        <v>39</v>
      </c>
      <c r="D326" s="7">
        <v>6</v>
      </c>
      <c r="E326" s="8">
        <v>13125</v>
      </c>
      <c r="F326" s="9">
        <v>0.15</v>
      </c>
      <c r="G326" s="8">
        <f t="shared" si="15"/>
        <v>66937.5</v>
      </c>
      <c r="H326" s="8">
        <f t="shared" si="16"/>
        <v>51187.5</v>
      </c>
      <c r="I326" s="8">
        <f t="shared" si="17"/>
        <v>15750</v>
      </c>
      <c r="J326" s="7" t="s">
        <v>19</v>
      </c>
      <c r="K326" s="7" t="s">
        <v>79</v>
      </c>
      <c r="L326" s="10" t="s">
        <v>16</v>
      </c>
    </row>
    <row r="327" spans="1:12" x14ac:dyDescent="0.3">
      <c r="A327" s="6" t="s">
        <v>375</v>
      </c>
      <c r="B327" s="18">
        <v>46121</v>
      </c>
      <c r="C327" s="18" t="s">
        <v>661</v>
      </c>
      <c r="D327" s="7">
        <v>5</v>
      </c>
      <c r="E327" s="8">
        <v>665</v>
      </c>
      <c r="F327" s="9">
        <v>0</v>
      </c>
      <c r="G327" s="8">
        <f t="shared" si="15"/>
        <v>3325</v>
      </c>
      <c r="H327" s="8">
        <f t="shared" si="16"/>
        <v>2161.25</v>
      </c>
      <c r="I327" s="8">
        <f t="shared" si="17"/>
        <v>1163.75</v>
      </c>
      <c r="J327" s="7" t="s">
        <v>19</v>
      </c>
      <c r="K327" s="7" t="s">
        <v>70</v>
      </c>
      <c r="L327" s="10" t="s">
        <v>25</v>
      </c>
    </row>
    <row r="328" spans="1:12" x14ac:dyDescent="0.3">
      <c r="A328" s="6" t="s">
        <v>376</v>
      </c>
      <c r="B328" s="18">
        <v>45769</v>
      </c>
      <c r="C328" s="18" t="s">
        <v>88</v>
      </c>
      <c r="D328" s="7">
        <v>3</v>
      </c>
      <c r="E328" s="8">
        <v>1500</v>
      </c>
      <c r="F328" s="9">
        <v>0.2</v>
      </c>
      <c r="G328" s="8">
        <f t="shared" si="15"/>
        <v>3600</v>
      </c>
      <c r="H328" s="8">
        <f t="shared" si="16"/>
        <v>2925</v>
      </c>
      <c r="I328" s="8">
        <f t="shared" si="17"/>
        <v>675</v>
      </c>
      <c r="J328" s="7" t="s">
        <v>14</v>
      </c>
      <c r="K328" s="7" t="s">
        <v>36</v>
      </c>
      <c r="L328" s="10" t="s">
        <v>16</v>
      </c>
    </row>
    <row r="329" spans="1:12" x14ac:dyDescent="0.3">
      <c r="A329" s="6" t="s">
        <v>377</v>
      </c>
      <c r="B329" s="18">
        <v>46094</v>
      </c>
      <c r="C329" s="18" t="s">
        <v>56</v>
      </c>
      <c r="D329" s="7">
        <v>7</v>
      </c>
      <c r="E329" s="8">
        <v>9800</v>
      </c>
      <c r="F329" s="9">
        <v>0.05</v>
      </c>
      <c r="G329" s="8">
        <f t="shared" si="15"/>
        <v>65170</v>
      </c>
      <c r="H329" s="8">
        <f t="shared" si="16"/>
        <v>44590</v>
      </c>
      <c r="I329" s="8">
        <f t="shared" si="17"/>
        <v>20580</v>
      </c>
      <c r="J329" s="7" t="s">
        <v>14</v>
      </c>
      <c r="K329" s="7" t="s">
        <v>47</v>
      </c>
      <c r="L329" s="10" t="s">
        <v>25</v>
      </c>
    </row>
    <row r="330" spans="1:12" x14ac:dyDescent="0.3">
      <c r="A330" s="6" t="s">
        <v>378</v>
      </c>
      <c r="B330" s="18">
        <v>45687</v>
      </c>
      <c r="C330" s="18" t="s">
        <v>18</v>
      </c>
      <c r="D330" s="7">
        <v>8</v>
      </c>
      <c r="E330" s="8">
        <v>1800</v>
      </c>
      <c r="F330" s="9">
        <v>0.2</v>
      </c>
      <c r="G330" s="8">
        <f t="shared" si="15"/>
        <v>11520</v>
      </c>
      <c r="H330" s="8">
        <f t="shared" si="16"/>
        <v>9360</v>
      </c>
      <c r="I330" s="8">
        <f t="shared" si="17"/>
        <v>2160</v>
      </c>
      <c r="J330" s="7" t="s">
        <v>23</v>
      </c>
      <c r="K330" s="7" t="s">
        <v>72</v>
      </c>
      <c r="L330" s="10" t="s">
        <v>21</v>
      </c>
    </row>
    <row r="331" spans="1:12" x14ac:dyDescent="0.3">
      <c r="A331" s="6" t="s">
        <v>379</v>
      </c>
      <c r="B331" s="18">
        <v>45877</v>
      </c>
      <c r="C331" s="18" t="s">
        <v>39</v>
      </c>
      <c r="D331" s="7">
        <v>2</v>
      </c>
      <c r="E331" s="8">
        <v>12500</v>
      </c>
      <c r="F331" s="9">
        <v>0.2</v>
      </c>
      <c r="G331" s="8">
        <f t="shared" si="15"/>
        <v>20000</v>
      </c>
      <c r="H331" s="8">
        <f t="shared" si="16"/>
        <v>16250</v>
      </c>
      <c r="I331" s="8">
        <f t="shared" si="17"/>
        <v>3750</v>
      </c>
      <c r="J331" s="7" t="s">
        <v>19</v>
      </c>
      <c r="K331" s="7" t="s">
        <v>20</v>
      </c>
      <c r="L331" s="10" t="s">
        <v>25</v>
      </c>
    </row>
    <row r="332" spans="1:12" x14ac:dyDescent="0.3">
      <c r="A332" s="6" t="s">
        <v>380</v>
      </c>
      <c r="B332" s="18">
        <v>45991</v>
      </c>
      <c r="C332" s="18" t="s">
        <v>39</v>
      </c>
      <c r="D332" s="7">
        <v>2</v>
      </c>
      <c r="E332" s="8">
        <v>13125</v>
      </c>
      <c r="F332" s="9">
        <v>0.1</v>
      </c>
      <c r="G332" s="8">
        <f t="shared" si="15"/>
        <v>23625</v>
      </c>
      <c r="H332" s="8">
        <f t="shared" si="16"/>
        <v>17062.5</v>
      </c>
      <c r="I332" s="8">
        <f t="shared" si="17"/>
        <v>6562.5</v>
      </c>
      <c r="J332" s="7" t="s">
        <v>23</v>
      </c>
      <c r="K332" s="7" t="s">
        <v>66</v>
      </c>
      <c r="L332" s="10" t="s">
        <v>16</v>
      </c>
    </row>
    <row r="333" spans="1:12" x14ac:dyDescent="0.3">
      <c r="A333" s="6" t="s">
        <v>381</v>
      </c>
      <c r="B333" s="18">
        <v>46055</v>
      </c>
      <c r="C333" s="18" t="s">
        <v>18</v>
      </c>
      <c r="D333" s="7">
        <v>2</v>
      </c>
      <c r="E333" s="8">
        <v>1890</v>
      </c>
      <c r="F333" s="9">
        <v>0.1</v>
      </c>
      <c r="G333" s="8">
        <f t="shared" si="15"/>
        <v>3402</v>
      </c>
      <c r="H333" s="8">
        <f t="shared" si="16"/>
        <v>2457</v>
      </c>
      <c r="I333" s="8">
        <f t="shared" si="17"/>
        <v>945</v>
      </c>
      <c r="J333" s="7" t="s">
        <v>27</v>
      </c>
      <c r="K333" s="7" t="s">
        <v>52</v>
      </c>
      <c r="L333" s="10" t="s">
        <v>16</v>
      </c>
    </row>
    <row r="334" spans="1:12" x14ac:dyDescent="0.3">
      <c r="A334" s="6" t="s">
        <v>382</v>
      </c>
      <c r="B334" s="18">
        <v>45834</v>
      </c>
      <c r="C334" s="18" t="s">
        <v>60</v>
      </c>
      <c r="D334" s="7">
        <v>3</v>
      </c>
      <c r="E334" s="8">
        <v>2090</v>
      </c>
      <c r="F334" s="9">
        <v>0.1</v>
      </c>
      <c r="G334" s="8">
        <f t="shared" si="15"/>
        <v>5643</v>
      </c>
      <c r="H334" s="8">
        <f t="shared" si="16"/>
        <v>4075.5</v>
      </c>
      <c r="I334" s="8">
        <f t="shared" si="17"/>
        <v>1567.5</v>
      </c>
      <c r="J334" s="7" t="s">
        <v>19</v>
      </c>
      <c r="K334" s="7" t="s">
        <v>20</v>
      </c>
      <c r="L334" s="10" t="s">
        <v>25</v>
      </c>
    </row>
    <row r="335" spans="1:12" x14ac:dyDescent="0.3">
      <c r="A335" s="6" t="s">
        <v>383</v>
      </c>
      <c r="B335" s="18">
        <v>45777</v>
      </c>
      <c r="C335" s="18" t="s">
        <v>88</v>
      </c>
      <c r="D335" s="7">
        <v>3</v>
      </c>
      <c r="E335" s="8">
        <v>1500</v>
      </c>
      <c r="F335" s="9">
        <v>0.2</v>
      </c>
      <c r="G335" s="8">
        <f t="shared" si="15"/>
        <v>3600</v>
      </c>
      <c r="H335" s="8">
        <f t="shared" si="16"/>
        <v>2925</v>
      </c>
      <c r="I335" s="8">
        <f t="shared" si="17"/>
        <v>675</v>
      </c>
      <c r="J335" s="7" t="s">
        <v>23</v>
      </c>
      <c r="K335" s="7" t="s">
        <v>72</v>
      </c>
      <c r="L335" s="10" t="s">
        <v>16</v>
      </c>
    </row>
    <row r="336" spans="1:12" x14ac:dyDescent="0.3">
      <c r="A336" s="6" t="s">
        <v>384</v>
      </c>
      <c r="B336" s="18">
        <v>45799</v>
      </c>
      <c r="C336" s="18" t="s">
        <v>18</v>
      </c>
      <c r="D336" s="7">
        <v>7</v>
      </c>
      <c r="E336" s="8">
        <v>1890</v>
      </c>
      <c r="F336" s="9">
        <v>0.05</v>
      </c>
      <c r="G336" s="8">
        <f t="shared" si="15"/>
        <v>12568.5</v>
      </c>
      <c r="H336" s="8">
        <f t="shared" si="16"/>
        <v>8599.5</v>
      </c>
      <c r="I336" s="8">
        <f t="shared" si="17"/>
        <v>3969</v>
      </c>
      <c r="J336" s="7" t="s">
        <v>23</v>
      </c>
      <c r="K336" s="7" t="s">
        <v>24</v>
      </c>
      <c r="L336" s="10" t="s">
        <v>16</v>
      </c>
    </row>
    <row r="337" spans="1:12" x14ac:dyDescent="0.3">
      <c r="A337" s="6" t="s">
        <v>385</v>
      </c>
      <c r="B337" s="18">
        <v>45828</v>
      </c>
      <c r="C337" s="18" t="s">
        <v>56</v>
      </c>
      <c r="D337" s="7">
        <v>3</v>
      </c>
      <c r="E337" s="8">
        <v>9800</v>
      </c>
      <c r="F337" s="9">
        <v>0.05</v>
      </c>
      <c r="G337" s="8">
        <f t="shared" si="15"/>
        <v>27930</v>
      </c>
      <c r="H337" s="8">
        <f t="shared" si="16"/>
        <v>19110</v>
      </c>
      <c r="I337" s="8">
        <f t="shared" si="17"/>
        <v>8820</v>
      </c>
      <c r="J337" s="7" t="s">
        <v>27</v>
      </c>
      <c r="K337" s="7" t="s">
        <v>52</v>
      </c>
      <c r="L337" s="10" t="s">
        <v>16</v>
      </c>
    </row>
    <row r="338" spans="1:12" x14ac:dyDescent="0.3">
      <c r="A338" s="6" t="s">
        <v>386</v>
      </c>
      <c r="B338" s="18">
        <v>45712</v>
      </c>
      <c r="C338" s="18" t="s">
        <v>661</v>
      </c>
      <c r="D338" s="7">
        <v>8</v>
      </c>
      <c r="E338" s="8">
        <v>665</v>
      </c>
      <c r="F338" s="9">
        <v>0.05</v>
      </c>
      <c r="G338" s="8">
        <f t="shared" si="15"/>
        <v>5054</v>
      </c>
      <c r="H338" s="8">
        <f t="shared" si="16"/>
        <v>3458</v>
      </c>
      <c r="I338" s="8">
        <f t="shared" si="17"/>
        <v>1596</v>
      </c>
      <c r="J338" s="7" t="s">
        <v>14</v>
      </c>
      <c r="K338" s="7" t="s">
        <v>47</v>
      </c>
      <c r="L338" s="10" t="s">
        <v>16</v>
      </c>
    </row>
    <row r="339" spans="1:12" x14ac:dyDescent="0.3">
      <c r="A339" s="6" t="s">
        <v>387</v>
      </c>
      <c r="B339" s="18">
        <v>46175</v>
      </c>
      <c r="C339" s="18" t="s">
        <v>56</v>
      </c>
      <c r="D339" s="7">
        <v>8</v>
      </c>
      <c r="E339" s="8">
        <v>10290</v>
      </c>
      <c r="F339" s="9">
        <v>0.15</v>
      </c>
      <c r="G339" s="8">
        <f t="shared" si="15"/>
        <v>69972</v>
      </c>
      <c r="H339" s="8">
        <f t="shared" si="16"/>
        <v>53508</v>
      </c>
      <c r="I339" s="8">
        <f t="shared" si="17"/>
        <v>16464</v>
      </c>
      <c r="J339" s="7" t="s">
        <v>23</v>
      </c>
      <c r="K339" s="7" t="s">
        <v>72</v>
      </c>
      <c r="L339" s="10" t="s">
        <v>21</v>
      </c>
    </row>
    <row r="340" spans="1:12" x14ac:dyDescent="0.3">
      <c r="A340" s="6" t="s">
        <v>388</v>
      </c>
      <c r="B340" s="18">
        <v>45742</v>
      </c>
      <c r="C340" s="18" t="s">
        <v>18</v>
      </c>
      <c r="D340" s="7">
        <v>4</v>
      </c>
      <c r="E340" s="8">
        <v>1710</v>
      </c>
      <c r="F340" s="9">
        <v>0.1</v>
      </c>
      <c r="G340" s="8">
        <f t="shared" si="15"/>
        <v>6156</v>
      </c>
      <c r="H340" s="8">
        <f t="shared" si="16"/>
        <v>4446</v>
      </c>
      <c r="I340" s="8">
        <f t="shared" si="17"/>
        <v>1710</v>
      </c>
      <c r="J340" s="7" t="s">
        <v>19</v>
      </c>
      <c r="K340" s="7" t="s">
        <v>34</v>
      </c>
      <c r="L340" s="10" t="s">
        <v>21</v>
      </c>
    </row>
    <row r="341" spans="1:12" x14ac:dyDescent="0.3">
      <c r="A341" s="6" t="s">
        <v>389</v>
      </c>
      <c r="B341" s="18">
        <v>45953</v>
      </c>
      <c r="C341" s="18" t="s">
        <v>88</v>
      </c>
      <c r="D341" s="7">
        <v>8</v>
      </c>
      <c r="E341" s="8">
        <v>1575</v>
      </c>
      <c r="F341" s="9">
        <v>0.2</v>
      </c>
      <c r="G341" s="8">
        <f t="shared" si="15"/>
        <v>10080</v>
      </c>
      <c r="H341" s="8">
        <f t="shared" si="16"/>
        <v>8190</v>
      </c>
      <c r="I341" s="8">
        <f t="shared" si="17"/>
        <v>1890</v>
      </c>
      <c r="J341" s="7" t="s">
        <v>19</v>
      </c>
      <c r="K341" s="7" t="s">
        <v>70</v>
      </c>
      <c r="L341" s="10" t="s">
        <v>25</v>
      </c>
    </row>
    <row r="342" spans="1:12" x14ac:dyDescent="0.3">
      <c r="A342" s="6" t="s">
        <v>390</v>
      </c>
      <c r="B342" s="18">
        <v>46033</v>
      </c>
      <c r="C342" s="18" t="s">
        <v>51</v>
      </c>
      <c r="D342" s="7">
        <v>8</v>
      </c>
      <c r="E342" s="8">
        <v>2470</v>
      </c>
      <c r="F342" s="9">
        <v>0.2</v>
      </c>
      <c r="G342" s="8">
        <f t="shared" si="15"/>
        <v>15808</v>
      </c>
      <c r="H342" s="8">
        <f t="shared" si="16"/>
        <v>12844</v>
      </c>
      <c r="I342" s="8">
        <f t="shared" si="17"/>
        <v>2964</v>
      </c>
      <c r="J342" s="7" t="s">
        <v>14</v>
      </c>
      <c r="K342" s="7" t="s">
        <v>47</v>
      </c>
      <c r="L342" s="10" t="s">
        <v>21</v>
      </c>
    </row>
    <row r="343" spans="1:12" x14ac:dyDescent="0.3">
      <c r="A343" s="6" t="s">
        <v>391</v>
      </c>
      <c r="B343" s="18">
        <v>45911</v>
      </c>
      <c r="C343" s="18" t="s">
        <v>60</v>
      </c>
      <c r="D343" s="7">
        <v>8</v>
      </c>
      <c r="E343" s="8">
        <v>2090</v>
      </c>
      <c r="F343" s="9">
        <v>0.1</v>
      </c>
      <c r="G343" s="8">
        <f t="shared" si="15"/>
        <v>15048</v>
      </c>
      <c r="H343" s="8">
        <f t="shared" si="16"/>
        <v>10868</v>
      </c>
      <c r="I343" s="8">
        <f t="shared" si="17"/>
        <v>4180</v>
      </c>
      <c r="J343" s="7" t="s">
        <v>27</v>
      </c>
      <c r="K343" s="7" t="s">
        <v>49</v>
      </c>
      <c r="L343" s="10" t="s">
        <v>25</v>
      </c>
    </row>
    <row r="344" spans="1:12" x14ac:dyDescent="0.3">
      <c r="A344" s="6" t="s">
        <v>392</v>
      </c>
      <c r="B344" s="18">
        <v>45778</v>
      </c>
      <c r="C344" s="18" t="s">
        <v>39</v>
      </c>
      <c r="D344" s="7">
        <v>6</v>
      </c>
      <c r="E344" s="8">
        <v>12500</v>
      </c>
      <c r="F344" s="9">
        <v>0.2</v>
      </c>
      <c r="G344" s="8">
        <f t="shared" si="15"/>
        <v>60000</v>
      </c>
      <c r="H344" s="8">
        <f t="shared" si="16"/>
        <v>48750</v>
      </c>
      <c r="I344" s="8">
        <f t="shared" si="17"/>
        <v>11250</v>
      </c>
      <c r="J344" s="7" t="s">
        <v>23</v>
      </c>
      <c r="K344" s="7" t="s">
        <v>24</v>
      </c>
      <c r="L344" s="10" t="s">
        <v>16</v>
      </c>
    </row>
    <row r="345" spans="1:12" x14ac:dyDescent="0.3">
      <c r="A345" s="6" t="s">
        <v>393</v>
      </c>
      <c r="B345" s="18">
        <v>45800</v>
      </c>
      <c r="C345" s="18" t="s">
        <v>39</v>
      </c>
      <c r="D345" s="7">
        <v>1</v>
      </c>
      <c r="E345" s="8">
        <v>12500</v>
      </c>
      <c r="F345" s="9">
        <v>0.2</v>
      </c>
      <c r="G345" s="8">
        <f t="shared" si="15"/>
        <v>10000</v>
      </c>
      <c r="H345" s="8">
        <f t="shared" si="16"/>
        <v>8125</v>
      </c>
      <c r="I345" s="8">
        <f t="shared" si="17"/>
        <v>1875</v>
      </c>
      <c r="J345" s="7" t="s">
        <v>27</v>
      </c>
      <c r="K345" s="7" t="s">
        <v>31</v>
      </c>
      <c r="L345" s="10" t="s">
        <v>16</v>
      </c>
    </row>
    <row r="346" spans="1:12" x14ac:dyDescent="0.3">
      <c r="A346" s="6" t="s">
        <v>394</v>
      </c>
      <c r="B346" s="18">
        <v>45830</v>
      </c>
      <c r="C346" s="18" t="s">
        <v>661</v>
      </c>
      <c r="D346" s="7">
        <v>5</v>
      </c>
      <c r="E346" s="8">
        <v>700</v>
      </c>
      <c r="F346" s="9">
        <v>0.2</v>
      </c>
      <c r="G346" s="8">
        <f t="shared" si="15"/>
        <v>2800</v>
      </c>
      <c r="H346" s="8">
        <f t="shared" si="16"/>
        <v>2275</v>
      </c>
      <c r="I346" s="8">
        <f t="shared" si="17"/>
        <v>525</v>
      </c>
      <c r="J346" s="7" t="s">
        <v>27</v>
      </c>
      <c r="K346" s="7" t="s">
        <v>49</v>
      </c>
      <c r="L346" s="10" t="s">
        <v>21</v>
      </c>
    </row>
    <row r="347" spans="1:12" x14ac:dyDescent="0.3">
      <c r="A347" s="6" t="s">
        <v>395</v>
      </c>
      <c r="B347" s="18">
        <v>46079</v>
      </c>
      <c r="C347" s="18" t="s">
        <v>13</v>
      </c>
      <c r="D347" s="7">
        <v>3</v>
      </c>
      <c r="E347" s="8">
        <v>52000</v>
      </c>
      <c r="F347" s="9">
        <v>0.05</v>
      </c>
      <c r="G347" s="8">
        <f t="shared" si="15"/>
        <v>148200</v>
      </c>
      <c r="H347" s="8">
        <f t="shared" si="16"/>
        <v>101400</v>
      </c>
      <c r="I347" s="8">
        <f t="shared" si="17"/>
        <v>46800</v>
      </c>
      <c r="J347" s="7" t="s">
        <v>14</v>
      </c>
      <c r="K347" s="7" t="s">
        <v>40</v>
      </c>
      <c r="L347" s="10" t="s">
        <v>16</v>
      </c>
    </row>
    <row r="348" spans="1:12" x14ac:dyDescent="0.3">
      <c r="A348" s="6" t="s">
        <v>396</v>
      </c>
      <c r="B348" s="18">
        <v>45987</v>
      </c>
      <c r="C348" s="18" t="s">
        <v>39</v>
      </c>
      <c r="D348" s="7">
        <v>8</v>
      </c>
      <c r="E348" s="8">
        <v>13125</v>
      </c>
      <c r="F348" s="9">
        <v>0.05</v>
      </c>
      <c r="G348" s="8">
        <f t="shared" si="15"/>
        <v>99750</v>
      </c>
      <c r="H348" s="8">
        <f t="shared" si="16"/>
        <v>68250</v>
      </c>
      <c r="I348" s="8">
        <f t="shared" si="17"/>
        <v>31500</v>
      </c>
      <c r="J348" s="7" t="s">
        <v>27</v>
      </c>
      <c r="K348" s="7" t="s">
        <v>52</v>
      </c>
      <c r="L348" s="10" t="s">
        <v>25</v>
      </c>
    </row>
    <row r="349" spans="1:12" x14ac:dyDescent="0.3">
      <c r="A349" s="6" t="s">
        <v>397</v>
      </c>
      <c r="B349" s="18">
        <v>46120</v>
      </c>
      <c r="C349" s="18" t="s">
        <v>30</v>
      </c>
      <c r="D349" s="7">
        <v>7</v>
      </c>
      <c r="E349" s="8">
        <v>617.5</v>
      </c>
      <c r="F349" s="9">
        <v>0.2</v>
      </c>
      <c r="G349" s="8">
        <f t="shared" si="15"/>
        <v>3458</v>
      </c>
      <c r="H349" s="8">
        <f t="shared" si="16"/>
        <v>2809.625</v>
      </c>
      <c r="I349" s="8">
        <f t="shared" si="17"/>
        <v>648.375</v>
      </c>
      <c r="J349" s="7" t="s">
        <v>27</v>
      </c>
      <c r="K349" s="7" t="s">
        <v>31</v>
      </c>
      <c r="L349" s="10" t="s">
        <v>25</v>
      </c>
    </row>
    <row r="350" spans="1:12" x14ac:dyDescent="0.3">
      <c r="A350" s="6" t="s">
        <v>398</v>
      </c>
      <c r="B350" s="18">
        <v>46157</v>
      </c>
      <c r="C350" s="18" t="s">
        <v>661</v>
      </c>
      <c r="D350" s="7">
        <v>2</v>
      </c>
      <c r="E350" s="8">
        <v>665</v>
      </c>
      <c r="F350" s="9">
        <v>0.15</v>
      </c>
      <c r="G350" s="8">
        <f t="shared" si="15"/>
        <v>1130.5</v>
      </c>
      <c r="H350" s="8">
        <f t="shared" si="16"/>
        <v>864.5</v>
      </c>
      <c r="I350" s="8">
        <f t="shared" si="17"/>
        <v>266</v>
      </c>
      <c r="J350" s="7" t="s">
        <v>27</v>
      </c>
      <c r="K350" s="7" t="s">
        <v>49</v>
      </c>
      <c r="L350" s="10" t="s">
        <v>16</v>
      </c>
    </row>
    <row r="351" spans="1:12" x14ac:dyDescent="0.3">
      <c r="A351" s="6" t="s">
        <v>399</v>
      </c>
      <c r="B351" s="18">
        <v>46065</v>
      </c>
      <c r="C351" s="18" t="s">
        <v>39</v>
      </c>
      <c r="D351" s="7">
        <v>4</v>
      </c>
      <c r="E351" s="8">
        <v>13125</v>
      </c>
      <c r="F351" s="9">
        <v>0.15</v>
      </c>
      <c r="G351" s="8">
        <f t="shared" si="15"/>
        <v>44625</v>
      </c>
      <c r="H351" s="8">
        <f t="shared" si="16"/>
        <v>34125</v>
      </c>
      <c r="I351" s="8">
        <f t="shared" si="17"/>
        <v>10500</v>
      </c>
      <c r="J351" s="7" t="s">
        <v>27</v>
      </c>
      <c r="K351" s="7" t="s">
        <v>31</v>
      </c>
      <c r="L351" s="10" t="s">
        <v>25</v>
      </c>
    </row>
    <row r="352" spans="1:12" x14ac:dyDescent="0.3">
      <c r="A352" s="6" t="s">
        <v>400</v>
      </c>
      <c r="B352" s="18">
        <v>46003</v>
      </c>
      <c r="C352" s="18" t="s">
        <v>51</v>
      </c>
      <c r="D352" s="7">
        <v>8</v>
      </c>
      <c r="E352" s="8">
        <v>2600</v>
      </c>
      <c r="F352" s="9">
        <v>0.1</v>
      </c>
      <c r="G352" s="8">
        <f t="shared" si="15"/>
        <v>18720</v>
      </c>
      <c r="H352" s="8">
        <f t="shared" si="16"/>
        <v>13520</v>
      </c>
      <c r="I352" s="8">
        <f t="shared" si="17"/>
        <v>5200</v>
      </c>
      <c r="J352" s="7" t="s">
        <v>19</v>
      </c>
      <c r="K352" s="7" t="s">
        <v>70</v>
      </c>
      <c r="L352" s="10" t="s">
        <v>21</v>
      </c>
    </row>
    <row r="353" spans="1:12" x14ac:dyDescent="0.3">
      <c r="A353" s="6" t="s">
        <v>401</v>
      </c>
      <c r="B353" s="18">
        <v>46128</v>
      </c>
      <c r="C353" s="18" t="s">
        <v>13</v>
      </c>
      <c r="D353" s="7">
        <v>3</v>
      </c>
      <c r="E353" s="8">
        <v>49400</v>
      </c>
      <c r="F353" s="9">
        <v>0.15</v>
      </c>
      <c r="G353" s="8">
        <f t="shared" si="15"/>
        <v>125970</v>
      </c>
      <c r="H353" s="8">
        <f t="shared" si="16"/>
        <v>96330</v>
      </c>
      <c r="I353" s="8">
        <f t="shared" si="17"/>
        <v>29640</v>
      </c>
      <c r="J353" s="7" t="s">
        <v>23</v>
      </c>
      <c r="K353" s="7" t="s">
        <v>61</v>
      </c>
      <c r="L353" s="10" t="s">
        <v>25</v>
      </c>
    </row>
    <row r="354" spans="1:12" x14ac:dyDescent="0.3">
      <c r="A354" s="6" t="s">
        <v>402</v>
      </c>
      <c r="B354" s="18">
        <v>45865</v>
      </c>
      <c r="C354" s="18" t="s">
        <v>88</v>
      </c>
      <c r="D354" s="7">
        <v>3</v>
      </c>
      <c r="E354" s="8">
        <v>1500</v>
      </c>
      <c r="F354" s="9">
        <v>0.1</v>
      </c>
      <c r="G354" s="8">
        <f t="shared" si="15"/>
        <v>4050</v>
      </c>
      <c r="H354" s="8">
        <f t="shared" si="16"/>
        <v>2925</v>
      </c>
      <c r="I354" s="8">
        <f t="shared" si="17"/>
        <v>1125</v>
      </c>
      <c r="J354" s="7" t="s">
        <v>19</v>
      </c>
      <c r="K354" s="7" t="s">
        <v>34</v>
      </c>
      <c r="L354" s="10" t="s">
        <v>25</v>
      </c>
    </row>
    <row r="355" spans="1:12" x14ac:dyDescent="0.3">
      <c r="A355" s="6" t="s">
        <v>403</v>
      </c>
      <c r="B355" s="18">
        <v>45742</v>
      </c>
      <c r="C355" s="18" t="s">
        <v>661</v>
      </c>
      <c r="D355" s="7">
        <v>1</v>
      </c>
      <c r="E355" s="8">
        <v>700</v>
      </c>
      <c r="F355" s="9">
        <v>0.15</v>
      </c>
      <c r="G355" s="8">
        <f t="shared" si="15"/>
        <v>595</v>
      </c>
      <c r="H355" s="8">
        <f t="shared" si="16"/>
        <v>455</v>
      </c>
      <c r="I355" s="8">
        <f t="shared" si="17"/>
        <v>140</v>
      </c>
      <c r="J355" s="7" t="s">
        <v>27</v>
      </c>
      <c r="K355" s="7" t="s">
        <v>28</v>
      </c>
      <c r="L355" s="10" t="s">
        <v>25</v>
      </c>
    </row>
    <row r="356" spans="1:12" x14ac:dyDescent="0.3">
      <c r="A356" s="6" t="s">
        <v>404</v>
      </c>
      <c r="B356" s="18">
        <v>45751</v>
      </c>
      <c r="C356" s="18" t="s">
        <v>30</v>
      </c>
      <c r="D356" s="7">
        <v>4</v>
      </c>
      <c r="E356" s="8">
        <v>617.5</v>
      </c>
      <c r="F356" s="9">
        <v>0.15</v>
      </c>
      <c r="G356" s="8">
        <f t="shared" si="15"/>
        <v>2099.5</v>
      </c>
      <c r="H356" s="8">
        <f t="shared" si="16"/>
        <v>1605.5</v>
      </c>
      <c r="I356" s="8">
        <f t="shared" si="17"/>
        <v>494</v>
      </c>
      <c r="J356" s="7" t="s">
        <v>19</v>
      </c>
      <c r="K356" s="7" t="s">
        <v>20</v>
      </c>
      <c r="L356" s="10" t="s">
        <v>16</v>
      </c>
    </row>
    <row r="357" spans="1:12" x14ac:dyDescent="0.3">
      <c r="A357" s="6" t="s">
        <v>405</v>
      </c>
      <c r="B357" s="18">
        <v>45889</v>
      </c>
      <c r="C357" s="18" t="s">
        <v>51</v>
      </c>
      <c r="D357" s="7">
        <v>1</v>
      </c>
      <c r="E357" s="8">
        <v>2730</v>
      </c>
      <c r="F357" s="9">
        <v>0</v>
      </c>
      <c r="G357" s="8">
        <f t="shared" si="15"/>
        <v>2730</v>
      </c>
      <c r="H357" s="8">
        <f t="shared" si="16"/>
        <v>1774.5</v>
      </c>
      <c r="I357" s="8">
        <f t="shared" si="17"/>
        <v>955.5</v>
      </c>
      <c r="J357" s="7" t="s">
        <v>27</v>
      </c>
      <c r="K357" s="7" t="s">
        <v>49</v>
      </c>
      <c r="L357" s="10" t="s">
        <v>25</v>
      </c>
    </row>
    <row r="358" spans="1:12" x14ac:dyDescent="0.3">
      <c r="A358" s="6" t="s">
        <v>406</v>
      </c>
      <c r="B358" s="18">
        <v>45793</v>
      </c>
      <c r="C358" s="18" t="s">
        <v>56</v>
      </c>
      <c r="D358" s="7">
        <v>4</v>
      </c>
      <c r="E358" s="8">
        <v>9310</v>
      </c>
      <c r="F358" s="9">
        <v>0.15</v>
      </c>
      <c r="G358" s="8">
        <f t="shared" si="15"/>
        <v>31654</v>
      </c>
      <c r="H358" s="8">
        <f t="shared" si="16"/>
        <v>24206</v>
      </c>
      <c r="I358" s="8">
        <f t="shared" si="17"/>
        <v>7448</v>
      </c>
      <c r="J358" s="7" t="s">
        <v>19</v>
      </c>
      <c r="K358" s="7" t="s">
        <v>70</v>
      </c>
      <c r="L358" s="10" t="s">
        <v>21</v>
      </c>
    </row>
    <row r="359" spans="1:12" x14ac:dyDescent="0.3">
      <c r="A359" s="6" t="s">
        <v>407</v>
      </c>
      <c r="B359" s="18">
        <v>45978</v>
      </c>
      <c r="C359" s="18" t="s">
        <v>661</v>
      </c>
      <c r="D359" s="7">
        <v>3</v>
      </c>
      <c r="E359" s="8">
        <v>700</v>
      </c>
      <c r="F359" s="9">
        <v>0.15</v>
      </c>
      <c r="G359" s="8">
        <f t="shared" si="15"/>
        <v>1785</v>
      </c>
      <c r="H359" s="8">
        <f t="shared" si="16"/>
        <v>1365</v>
      </c>
      <c r="I359" s="8">
        <f t="shared" si="17"/>
        <v>420</v>
      </c>
      <c r="J359" s="7" t="s">
        <v>14</v>
      </c>
      <c r="K359" s="7" t="s">
        <v>40</v>
      </c>
      <c r="L359" s="10" t="s">
        <v>21</v>
      </c>
    </row>
    <row r="360" spans="1:12" x14ac:dyDescent="0.3">
      <c r="A360" s="6" t="s">
        <v>408</v>
      </c>
      <c r="B360" s="18">
        <v>46201</v>
      </c>
      <c r="C360" s="18" t="s">
        <v>18</v>
      </c>
      <c r="D360" s="7">
        <v>3</v>
      </c>
      <c r="E360" s="8">
        <v>1710</v>
      </c>
      <c r="F360" s="9">
        <v>0.15</v>
      </c>
      <c r="G360" s="8">
        <f t="shared" si="15"/>
        <v>4360.5</v>
      </c>
      <c r="H360" s="8">
        <f t="shared" si="16"/>
        <v>3334.5</v>
      </c>
      <c r="I360" s="8">
        <f t="shared" si="17"/>
        <v>1026</v>
      </c>
      <c r="J360" s="7" t="s">
        <v>27</v>
      </c>
      <c r="K360" s="7" t="s">
        <v>28</v>
      </c>
      <c r="L360" s="10" t="s">
        <v>16</v>
      </c>
    </row>
    <row r="361" spans="1:12" x14ac:dyDescent="0.3">
      <c r="A361" s="6" t="s">
        <v>409</v>
      </c>
      <c r="B361" s="18">
        <v>45813</v>
      </c>
      <c r="C361" s="18" t="s">
        <v>43</v>
      </c>
      <c r="D361" s="7">
        <v>4</v>
      </c>
      <c r="E361" s="8">
        <v>3360</v>
      </c>
      <c r="F361" s="9">
        <v>0</v>
      </c>
      <c r="G361" s="8">
        <f t="shared" si="15"/>
        <v>13440</v>
      </c>
      <c r="H361" s="8">
        <f t="shared" si="16"/>
        <v>8736</v>
      </c>
      <c r="I361" s="8">
        <f t="shared" si="17"/>
        <v>4704</v>
      </c>
      <c r="J361" s="7" t="s">
        <v>19</v>
      </c>
      <c r="K361" s="7" t="s">
        <v>20</v>
      </c>
      <c r="L361" s="10" t="s">
        <v>21</v>
      </c>
    </row>
    <row r="362" spans="1:12" x14ac:dyDescent="0.3">
      <c r="A362" s="6" t="s">
        <v>410</v>
      </c>
      <c r="B362" s="18">
        <v>46051</v>
      </c>
      <c r="C362" s="18" t="s">
        <v>661</v>
      </c>
      <c r="D362" s="7">
        <v>6</v>
      </c>
      <c r="E362" s="8">
        <v>735</v>
      </c>
      <c r="F362" s="9">
        <v>0.05</v>
      </c>
      <c r="G362" s="8">
        <f t="shared" si="15"/>
        <v>4189.5</v>
      </c>
      <c r="H362" s="8">
        <f t="shared" si="16"/>
        <v>2866.5</v>
      </c>
      <c r="I362" s="8">
        <f t="shared" si="17"/>
        <v>1323</v>
      </c>
      <c r="J362" s="7" t="s">
        <v>14</v>
      </c>
      <c r="K362" s="7" t="s">
        <v>36</v>
      </c>
      <c r="L362" s="10" t="s">
        <v>16</v>
      </c>
    </row>
    <row r="363" spans="1:12" x14ac:dyDescent="0.3">
      <c r="A363" s="6" t="s">
        <v>411</v>
      </c>
      <c r="B363" s="18">
        <v>45744</v>
      </c>
      <c r="C363" s="18" t="s">
        <v>39</v>
      </c>
      <c r="D363" s="7">
        <v>1</v>
      </c>
      <c r="E363" s="8">
        <v>12500</v>
      </c>
      <c r="F363" s="9">
        <v>0.1</v>
      </c>
      <c r="G363" s="8">
        <f t="shared" si="15"/>
        <v>11250</v>
      </c>
      <c r="H363" s="8">
        <f t="shared" si="16"/>
        <v>8125</v>
      </c>
      <c r="I363" s="8">
        <f t="shared" si="17"/>
        <v>3125</v>
      </c>
      <c r="J363" s="7" t="s">
        <v>14</v>
      </c>
      <c r="K363" s="7" t="s">
        <v>40</v>
      </c>
      <c r="L363" s="10" t="s">
        <v>16</v>
      </c>
    </row>
    <row r="364" spans="1:12" x14ac:dyDescent="0.3">
      <c r="A364" s="6" t="s">
        <v>412</v>
      </c>
      <c r="B364" s="18">
        <v>46059</v>
      </c>
      <c r="C364" s="18" t="s">
        <v>60</v>
      </c>
      <c r="D364" s="7">
        <v>4</v>
      </c>
      <c r="E364" s="8">
        <v>2090</v>
      </c>
      <c r="F364" s="9">
        <v>0.15</v>
      </c>
      <c r="G364" s="8">
        <f t="shared" si="15"/>
        <v>7106</v>
      </c>
      <c r="H364" s="8">
        <f t="shared" si="16"/>
        <v>5434</v>
      </c>
      <c r="I364" s="8">
        <f t="shared" si="17"/>
        <v>1672</v>
      </c>
      <c r="J364" s="7" t="s">
        <v>23</v>
      </c>
      <c r="K364" s="7" t="s">
        <v>61</v>
      </c>
      <c r="L364" s="10" t="s">
        <v>21</v>
      </c>
    </row>
    <row r="365" spans="1:12" x14ac:dyDescent="0.3">
      <c r="A365" s="6" t="s">
        <v>413</v>
      </c>
      <c r="B365" s="18">
        <v>46169</v>
      </c>
      <c r="C365" s="18" t="s">
        <v>18</v>
      </c>
      <c r="D365" s="7">
        <v>1</v>
      </c>
      <c r="E365" s="8">
        <v>1710</v>
      </c>
      <c r="F365" s="9">
        <v>0.1</v>
      </c>
      <c r="G365" s="8">
        <f t="shared" si="15"/>
        <v>1539</v>
      </c>
      <c r="H365" s="8">
        <f t="shared" si="16"/>
        <v>1111.5</v>
      </c>
      <c r="I365" s="8">
        <f t="shared" si="17"/>
        <v>427.5</v>
      </c>
      <c r="J365" s="7" t="s">
        <v>27</v>
      </c>
      <c r="K365" s="7" t="s">
        <v>28</v>
      </c>
      <c r="L365" s="10" t="s">
        <v>25</v>
      </c>
    </row>
    <row r="366" spans="1:12" x14ac:dyDescent="0.3">
      <c r="A366" s="6" t="s">
        <v>414</v>
      </c>
      <c r="B366" s="18">
        <v>46088</v>
      </c>
      <c r="C366" s="18" t="s">
        <v>661</v>
      </c>
      <c r="D366" s="7">
        <v>8</v>
      </c>
      <c r="E366" s="8">
        <v>700</v>
      </c>
      <c r="F366" s="9">
        <v>0</v>
      </c>
      <c r="G366" s="8">
        <f t="shared" si="15"/>
        <v>5600</v>
      </c>
      <c r="H366" s="8">
        <f t="shared" si="16"/>
        <v>3640</v>
      </c>
      <c r="I366" s="8">
        <f t="shared" si="17"/>
        <v>1960</v>
      </c>
      <c r="J366" s="7" t="s">
        <v>19</v>
      </c>
      <c r="K366" s="7" t="s">
        <v>70</v>
      </c>
      <c r="L366" s="10" t="s">
        <v>21</v>
      </c>
    </row>
    <row r="367" spans="1:12" x14ac:dyDescent="0.3">
      <c r="A367" s="6" t="s">
        <v>415</v>
      </c>
      <c r="B367" s="18">
        <v>45926</v>
      </c>
      <c r="C367" s="18" t="s">
        <v>39</v>
      </c>
      <c r="D367" s="7">
        <v>1</v>
      </c>
      <c r="E367" s="8">
        <v>11875</v>
      </c>
      <c r="F367" s="9">
        <v>0.15</v>
      </c>
      <c r="G367" s="8">
        <f t="shared" si="15"/>
        <v>10093.75</v>
      </c>
      <c r="H367" s="8">
        <f t="shared" si="16"/>
        <v>7718.75</v>
      </c>
      <c r="I367" s="8">
        <f t="shared" si="17"/>
        <v>2375</v>
      </c>
      <c r="J367" s="7" t="s">
        <v>27</v>
      </c>
      <c r="K367" s="7" t="s">
        <v>52</v>
      </c>
      <c r="L367" s="10" t="s">
        <v>25</v>
      </c>
    </row>
    <row r="368" spans="1:12" x14ac:dyDescent="0.3">
      <c r="A368" s="6" t="s">
        <v>416</v>
      </c>
      <c r="B368" s="18">
        <v>46069</v>
      </c>
      <c r="C368" s="18" t="s">
        <v>30</v>
      </c>
      <c r="D368" s="7">
        <v>5</v>
      </c>
      <c r="E368" s="8">
        <v>650</v>
      </c>
      <c r="F368" s="9">
        <v>0</v>
      </c>
      <c r="G368" s="8">
        <f t="shared" si="15"/>
        <v>3250</v>
      </c>
      <c r="H368" s="8">
        <f t="shared" si="16"/>
        <v>2112.5</v>
      </c>
      <c r="I368" s="8">
        <f t="shared" si="17"/>
        <v>1137.5</v>
      </c>
      <c r="J368" s="7" t="s">
        <v>27</v>
      </c>
      <c r="K368" s="7" t="s">
        <v>49</v>
      </c>
      <c r="L368" s="10" t="s">
        <v>16</v>
      </c>
    </row>
    <row r="369" spans="1:12" x14ac:dyDescent="0.3">
      <c r="A369" s="6" t="s">
        <v>417</v>
      </c>
      <c r="B369" s="18">
        <v>45866</v>
      </c>
      <c r="C369" s="18" t="s">
        <v>88</v>
      </c>
      <c r="D369" s="7">
        <v>7</v>
      </c>
      <c r="E369" s="8">
        <v>1500</v>
      </c>
      <c r="F369" s="9">
        <v>0.2</v>
      </c>
      <c r="G369" s="8">
        <f t="shared" si="15"/>
        <v>8400</v>
      </c>
      <c r="H369" s="8">
        <f t="shared" si="16"/>
        <v>6825</v>
      </c>
      <c r="I369" s="8">
        <f t="shared" si="17"/>
        <v>1575</v>
      </c>
      <c r="J369" s="7" t="s">
        <v>19</v>
      </c>
      <c r="K369" s="7" t="s">
        <v>34</v>
      </c>
      <c r="L369" s="10" t="s">
        <v>16</v>
      </c>
    </row>
    <row r="370" spans="1:12" x14ac:dyDescent="0.3">
      <c r="A370" s="6" t="s">
        <v>418</v>
      </c>
      <c r="B370" s="18">
        <v>46105</v>
      </c>
      <c r="C370" s="18" t="s">
        <v>39</v>
      </c>
      <c r="D370" s="7">
        <v>4</v>
      </c>
      <c r="E370" s="8">
        <v>11875</v>
      </c>
      <c r="F370" s="9">
        <v>0</v>
      </c>
      <c r="G370" s="8">
        <f t="shared" si="15"/>
        <v>47500</v>
      </c>
      <c r="H370" s="8">
        <f t="shared" si="16"/>
        <v>30875</v>
      </c>
      <c r="I370" s="8">
        <f t="shared" si="17"/>
        <v>16625</v>
      </c>
      <c r="J370" s="7" t="s">
        <v>23</v>
      </c>
      <c r="K370" s="7" t="s">
        <v>61</v>
      </c>
      <c r="L370" s="10" t="s">
        <v>25</v>
      </c>
    </row>
    <row r="371" spans="1:12" x14ac:dyDescent="0.3">
      <c r="A371" s="6" t="s">
        <v>419</v>
      </c>
      <c r="B371" s="18">
        <v>45714</v>
      </c>
      <c r="C371" s="18" t="s">
        <v>60</v>
      </c>
      <c r="D371" s="7">
        <v>2</v>
      </c>
      <c r="E371" s="8">
        <v>2200</v>
      </c>
      <c r="F371" s="9">
        <v>0</v>
      </c>
      <c r="G371" s="8">
        <f t="shared" si="15"/>
        <v>4400</v>
      </c>
      <c r="H371" s="8">
        <f t="shared" si="16"/>
        <v>2860</v>
      </c>
      <c r="I371" s="8">
        <f t="shared" si="17"/>
        <v>1540</v>
      </c>
      <c r="J371" s="7" t="s">
        <v>14</v>
      </c>
      <c r="K371" s="7" t="s">
        <v>15</v>
      </c>
      <c r="L371" s="10" t="s">
        <v>21</v>
      </c>
    </row>
    <row r="372" spans="1:12" x14ac:dyDescent="0.3">
      <c r="A372" s="6" t="s">
        <v>420</v>
      </c>
      <c r="B372" s="18">
        <v>46166</v>
      </c>
      <c r="C372" s="18" t="s">
        <v>661</v>
      </c>
      <c r="D372" s="7">
        <v>3</v>
      </c>
      <c r="E372" s="8">
        <v>700</v>
      </c>
      <c r="F372" s="9">
        <v>0.1</v>
      </c>
      <c r="G372" s="8">
        <f t="shared" si="15"/>
        <v>1890</v>
      </c>
      <c r="H372" s="8">
        <f t="shared" si="16"/>
        <v>1365</v>
      </c>
      <c r="I372" s="8">
        <f t="shared" si="17"/>
        <v>525</v>
      </c>
      <c r="J372" s="7" t="s">
        <v>299</v>
      </c>
      <c r="K372" s="7" t="s">
        <v>36</v>
      </c>
      <c r="L372" s="10" t="s">
        <v>16</v>
      </c>
    </row>
    <row r="373" spans="1:12" x14ac:dyDescent="0.3">
      <c r="A373" s="6" t="s">
        <v>421</v>
      </c>
      <c r="B373" s="18">
        <v>45778</v>
      </c>
      <c r="C373" s="18" t="s">
        <v>13</v>
      </c>
      <c r="D373" s="7">
        <v>7</v>
      </c>
      <c r="E373" s="8">
        <v>52000</v>
      </c>
      <c r="F373" s="9">
        <v>0.1</v>
      </c>
      <c r="G373" s="8">
        <f t="shared" si="15"/>
        <v>327600</v>
      </c>
      <c r="H373" s="8">
        <f t="shared" si="16"/>
        <v>236600</v>
      </c>
      <c r="I373" s="8">
        <f t="shared" si="17"/>
        <v>91000</v>
      </c>
      <c r="J373" s="7" t="s">
        <v>19</v>
      </c>
      <c r="K373" s="7" t="s">
        <v>34</v>
      </c>
      <c r="L373" s="10" t="s">
        <v>16</v>
      </c>
    </row>
    <row r="374" spans="1:12" x14ac:dyDescent="0.3">
      <c r="A374" s="6" t="s">
        <v>422</v>
      </c>
      <c r="B374" s="18">
        <v>45736</v>
      </c>
      <c r="C374" s="18" t="s">
        <v>56</v>
      </c>
      <c r="D374" s="7">
        <v>6</v>
      </c>
      <c r="E374" s="8">
        <v>10290</v>
      </c>
      <c r="F374" s="9">
        <v>0</v>
      </c>
      <c r="G374" s="8">
        <f t="shared" si="15"/>
        <v>61740</v>
      </c>
      <c r="H374" s="8">
        <f t="shared" si="16"/>
        <v>40131</v>
      </c>
      <c r="I374" s="8">
        <f t="shared" si="17"/>
        <v>21609</v>
      </c>
      <c r="J374" s="7" t="s">
        <v>23</v>
      </c>
      <c r="K374" s="7" t="s">
        <v>24</v>
      </c>
      <c r="L374" s="10" t="s">
        <v>25</v>
      </c>
    </row>
    <row r="375" spans="1:12" x14ac:dyDescent="0.3">
      <c r="A375" s="6" t="s">
        <v>423</v>
      </c>
      <c r="B375" s="18">
        <v>45819</v>
      </c>
      <c r="C375" s="18" t="s">
        <v>60</v>
      </c>
      <c r="D375" s="7">
        <v>2</v>
      </c>
      <c r="E375" s="8">
        <v>2090</v>
      </c>
      <c r="F375" s="9">
        <v>0.05</v>
      </c>
      <c r="G375" s="8">
        <f t="shared" si="15"/>
        <v>3971</v>
      </c>
      <c r="H375" s="8">
        <f t="shared" si="16"/>
        <v>2717</v>
      </c>
      <c r="I375" s="8">
        <f t="shared" si="17"/>
        <v>1254</v>
      </c>
      <c r="J375" s="7" t="s">
        <v>19</v>
      </c>
      <c r="K375" s="7" t="s">
        <v>70</v>
      </c>
      <c r="L375" s="10" t="s">
        <v>21</v>
      </c>
    </row>
    <row r="376" spans="1:12" x14ac:dyDescent="0.3">
      <c r="A376" s="6" t="s">
        <v>424</v>
      </c>
      <c r="B376" s="18">
        <v>45908</v>
      </c>
      <c r="C376" s="18" t="s">
        <v>13</v>
      </c>
      <c r="D376" s="7">
        <v>6</v>
      </c>
      <c r="E376" s="8">
        <v>54600</v>
      </c>
      <c r="F376" s="9">
        <v>0.15</v>
      </c>
      <c r="G376" s="8">
        <f t="shared" si="15"/>
        <v>278460</v>
      </c>
      <c r="H376" s="8">
        <f t="shared" si="16"/>
        <v>212940</v>
      </c>
      <c r="I376" s="8">
        <f t="shared" si="17"/>
        <v>65520</v>
      </c>
      <c r="J376" s="7" t="s">
        <v>14</v>
      </c>
      <c r="K376" s="7" t="s">
        <v>40</v>
      </c>
      <c r="L376" s="10" t="s">
        <v>21</v>
      </c>
    </row>
    <row r="377" spans="1:12" x14ac:dyDescent="0.3">
      <c r="A377" s="6" t="s">
        <v>425</v>
      </c>
      <c r="B377" s="18">
        <v>46087</v>
      </c>
      <c r="C377" s="18" t="s">
        <v>39</v>
      </c>
      <c r="D377" s="7">
        <v>4</v>
      </c>
      <c r="E377" s="8">
        <v>12500</v>
      </c>
      <c r="F377" s="9">
        <v>0.15</v>
      </c>
      <c r="G377" s="8">
        <f t="shared" si="15"/>
        <v>42500</v>
      </c>
      <c r="H377" s="8">
        <f t="shared" si="16"/>
        <v>32500</v>
      </c>
      <c r="I377" s="8">
        <f t="shared" si="17"/>
        <v>10000</v>
      </c>
      <c r="J377" s="7" t="s">
        <v>27</v>
      </c>
      <c r="K377" s="7" t="s">
        <v>31</v>
      </c>
      <c r="L377" s="10" t="s">
        <v>21</v>
      </c>
    </row>
    <row r="378" spans="1:12" x14ac:dyDescent="0.3">
      <c r="A378" s="6" t="s">
        <v>426</v>
      </c>
      <c r="B378" s="18">
        <v>46039</v>
      </c>
      <c r="C378" s="18" t="s">
        <v>30</v>
      </c>
      <c r="D378" s="7">
        <v>3</v>
      </c>
      <c r="E378" s="8">
        <v>617.5</v>
      </c>
      <c r="F378" s="9">
        <v>0.05</v>
      </c>
      <c r="G378" s="8">
        <f t="shared" si="15"/>
        <v>1759.875</v>
      </c>
      <c r="H378" s="8">
        <f t="shared" si="16"/>
        <v>1204.125</v>
      </c>
      <c r="I378" s="8">
        <f t="shared" si="17"/>
        <v>555.75</v>
      </c>
      <c r="J378" s="7" t="s">
        <v>19</v>
      </c>
      <c r="K378" s="7" t="s">
        <v>79</v>
      </c>
      <c r="L378" s="10" t="s">
        <v>21</v>
      </c>
    </row>
    <row r="379" spans="1:12" x14ac:dyDescent="0.3">
      <c r="A379" s="6" t="s">
        <v>427</v>
      </c>
      <c r="B379" s="18">
        <v>46134</v>
      </c>
      <c r="C379" s="18" t="s">
        <v>60</v>
      </c>
      <c r="D379" s="7">
        <v>6</v>
      </c>
      <c r="E379" s="8">
        <v>2200</v>
      </c>
      <c r="F379" s="9">
        <v>0</v>
      </c>
      <c r="G379" s="8">
        <f t="shared" si="15"/>
        <v>13200</v>
      </c>
      <c r="H379" s="8">
        <f t="shared" si="16"/>
        <v>8580</v>
      </c>
      <c r="I379" s="8">
        <f t="shared" si="17"/>
        <v>4620</v>
      </c>
      <c r="J379" s="7" t="s">
        <v>23</v>
      </c>
      <c r="K379" s="7" t="s">
        <v>61</v>
      </c>
      <c r="L379" s="10" t="s">
        <v>25</v>
      </c>
    </row>
    <row r="380" spans="1:12" x14ac:dyDescent="0.3">
      <c r="A380" s="6" t="s">
        <v>428</v>
      </c>
      <c r="B380" s="18">
        <v>45863</v>
      </c>
      <c r="C380" s="18" t="s">
        <v>60</v>
      </c>
      <c r="D380" s="7">
        <v>4</v>
      </c>
      <c r="E380" s="8">
        <v>2200</v>
      </c>
      <c r="F380" s="9">
        <v>0.15</v>
      </c>
      <c r="G380" s="8">
        <f t="shared" si="15"/>
        <v>7480</v>
      </c>
      <c r="H380" s="8">
        <f t="shared" si="16"/>
        <v>5720</v>
      </c>
      <c r="I380" s="8">
        <f t="shared" si="17"/>
        <v>1760</v>
      </c>
      <c r="J380" s="7" t="s">
        <v>27</v>
      </c>
      <c r="K380" s="7" t="s">
        <v>52</v>
      </c>
      <c r="L380" s="10" t="s">
        <v>21</v>
      </c>
    </row>
    <row r="381" spans="1:12" x14ac:dyDescent="0.3">
      <c r="A381" s="6" t="s">
        <v>429</v>
      </c>
      <c r="B381" s="18">
        <v>45909</v>
      </c>
      <c r="C381" s="18" t="s">
        <v>88</v>
      </c>
      <c r="D381" s="7">
        <v>7</v>
      </c>
      <c r="E381" s="8">
        <v>1425</v>
      </c>
      <c r="F381" s="9">
        <v>0</v>
      </c>
      <c r="G381" s="8">
        <f t="shared" si="15"/>
        <v>9975</v>
      </c>
      <c r="H381" s="8">
        <f t="shared" si="16"/>
        <v>6483.75</v>
      </c>
      <c r="I381" s="8">
        <f t="shared" si="17"/>
        <v>3491.25</v>
      </c>
      <c r="J381" s="7" t="s">
        <v>14</v>
      </c>
      <c r="K381" s="7" t="s">
        <v>36</v>
      </c>
      <c r="L381" s="10" t="s">
        <v>16</v>
      </c>
    </row>
    <row r="382" spans="1:12" x14ac:dyDescent="0.3">
      <c r="A382" s="6" t="s">
        <v>430</v>
      </c>
      <c r="B382" s="18">
        <v>45667</v>
      </c>
      <c r="C382" s="18" t="s">
        <v>661</v>
      </c>
      <c r="D382" s="7">
        <v>7</v>
      </c>
      <c r="E382" s="8">
        <v>665</v>
      </c>
      <c r="F382" s="9">
        <v>0.1</v>
      </c>
      <c r="G382" s="8">
        <f t="shared" si="15"/>
        <v>4189.5</v>
      </c>
      <c r="H382" s="8">
        <f t="shared" si="16"/>
        <v>3025.75</v>
      </c>
      <c r="I382" s="8">
        <f t="shared" si="17"/>
        <v>1163.75</v>
      </c>
      <c r="J382" s="7" t="s">
        <v>19</v>
      </c>
      <c r="K382" s="7" t="s">
        <v>20</v>
      </c>
      <c r="L382" s="10" t="s">
        <v>16</v>
      </c>
    </row>
    <row r="383" spans="1:12" x14ac:dyDescent="0.3">
      <c r="A383" s="6" t="s">
        <v>431</v>
      </c>
      <c r="B383" s="18">
        <v>45901</v>
      </c>
      <c r="C383" s="18" t="s">
        <v>43</v>
      </c>
      <c r="D383" s="7">
        <v>1</v>
      </c>
      <c r="E383" s="8">
        <v>3360</v>
      </c>
      <c r="F383" s="9">
        <v>0.05</v>
      </c>
      <c r="G383" s="8">
        <f t="shared" si="15"/>
        <v>3192</v>
      </c>
      <c r="H383" s="8">
        <f t="shared" si="16"/>
        <v>2184</v>
      </c>
      <c r="I383" s="8">
        <f t="shared" si="17"/>
        <v>1008</v>
      </c>
      <c r="J383" s="7" t="s">
        <v>27</v>
      </c>
      <c r="K383" s="7" t="s">
        <v>49</v>
      </c>
      <c r="L383" s="10" t="s">
        <v>21</v>
      </c>
    </row>
    <row r="384" spans="1:12" x14ac:dyDescent="0.3">
      <c r="A384" s="6" t="s">
        <v>432</v>
      </c>
      <c r="B384" s="18">
        <v>45895</v>
      </c>
      <c r="C384" s="18" t="s">
        <v>51</v>
      </c>
      <c r="D384" s="7">
        <v>6</v>
      </c>
      <c r="E384" s="8">
        <v>2730</v>
      </c>
      <c r="F384" s="9">
        <v>0.15</v>
      </c>
      <c r="G384" s="8">
        <f t="shared" si="15"/>
        <v>13923</v>
      </c>
      <c r="H384" s="8">
        <f t="shared" si="16"/>
        <v>10647</v>
      </c>
      <c r="I384" s="8">
        <f t="shared" si="17"/>
        <v>3276</v>
      </c>
      <c r="J384" s="7" t="s">
        <v>19</v>
      </c>
      <c r="K384" s="7" t="s">
        <v>70</v>
      </c>
      <c r="L384" s="10" t="s">
        <v>16</v>
      </c>
    </row>
    <row r="385" spans="1:12" x14ac:dyDescent="0.3">
      <c r="A385" s="6" t="s">
        <v>433</v>
      </c>
      <c r="B385" s="18">
        <v>45794</v>
      </c>
      <c r="C385" s="18" t="s">
        <v>43</v>
      </c>
      <c r="D385" s="7">
        <v>1</v>
      </c>
      <c r="E385" s="8">
        <v>3040</v>
      </c>
      <c r="F385" s="9">
        <v>0.15</v>
      </c>
      <c r="G385" s="8">
        <f t="shared" si="15"/>
        <v>2584</v>
      </c>
      <c r="H385" s="8">
        <f t="shared" si="16"/>
        <v>1976</v>
      </c>
      <c r="I385" s="8">
        <f t="shared" si="17"/>
        <v>608</v>
      </c>
      <c r="J385" s="7" t="s">
        <v>14</v>
      </c>
      <c r="K385" s="7" t="s">
        <v>40</v>
      </c>
      <c r="L385" s="10" t="s">
        <v>25</v>
      </c>
    </row>
    <row r="386" spans="1:12" x14ac:dyDescent="0.3">
      <c r="A386" s="6" t="s">
        <v>434</v>
      </c>
      <c r="B386" s="18">
        <v>45925</v>
      </c>
      <c r="C386" s="18" t="s">
        <v>661</v>
      </c>
      <c r="D386" s="7">
        <v>6</v>
      </c>
      <c r="E386" s="8">
        <v>735</v>
      </c>
      <c r="F386" s="9">
        <v>0.1</v>
      </c>
      <c r="G386" s="8">
        <f t="shared" si="15"/>
        <v>3969</v>
      </c>
      <c r="H386" s="8">
        <f t="shared" si="16"/>
        <v>2866.5</v>
      </c>
      <c r="I386" s="8">
        <f t="shared" si="17"/>
        <v>1102.5</v>
      </c>
      <c r="J386" s="7" t="s">
        <v>23</v>
      </c>
      <c r="K386" s="7" t="s">
        <v>66</v>
      </c>
      <c r="L386" s="10" t="s">
        <v>21</v>
      </c>
    </row>
    <row r="387" spans="1:12" x14ac:dyDescent="0.3">
      <c r="A387" s="6" t="s">
        <v>435</v>
      </c>
      <c r="B387" s="18">
        <v>45734</v>
      </c>
      <c r="C387" s="18" t="s">
        <v>39</v>
      </c>
      <c r="D387" s="7">
        <v>2</v>
      </c>
      <c r="E387" s="8">
        <v>12500</v>
      </c>
      <c r="F387" s="9">
        <v>0.05</v>
      </c>
      <c r="G387" s="8">
        <f t="shared" ref="G387:G450" si="18">D387*E387*(1-F387)</f>
        <v>23750</v>
      </c>
      <c r="H387" s="8">
        <f t="shared" ref="H387:H450" si="19">D387*E387*65%</f>
        <v>16250</v>
      </c>
      <c r="I387" s="8">
        <f t="shared" ref="I387:I450" si="20">G387-H387</f>
        <v>7500</v>
      </c>
      <c r="J387" s="7" t="s">
        <v>19</v>
      </c>
      <c r="K387" s="7" t="s">
        <v>20</v>
      </c>
      <c r="L387" s="10" t="s">
        <v>25</v>
      </c>
    </row>
    <row r="388" spans="1:12" x14ac:dyDescent="0.3">
      <c r="A388" s="6" t="s">
        <v>436</v>
      </c>
      <c r="B388" s="18">
        <v>46135</v>
      </c>
      <c r="C388" s="18" t="s">
        <v>661</v>
      </c>
      <c r="D388" s="7">
        <v>2</v>
      </c>
      <c r="E388" s="8">
        <v>735</v>
      </c>
      <c r="F388" s="9">
        <v>0.2</v>
      </c>
      <c r="G388" s="8">
        <f t="shared" si="18"/>
        <v>1176</v>
      </c>
      <c r="H388" s="8">
        <f t="shared" si="19"/>
        <v>955.5</v>
      </c>
      <c r="I388" s="8">
        <f t="shared" si="20"/>
        <v>220.5</v>
      </c>
      <c r="J388" s="7" t="s">
        <v>27</v>
      </c>
      <c r="K388" s="7" t="s">
        <v>28</v>
      </c>
      <c r="L388" s="10" t="s">
        <v>25</v>
      </c>
    </row>
    <row r="389" spans="1:12" x14ac:dyDescent="0.3">
      <c r="A389" s="6" t="s">
        <v>437</v>
      </c>
      <c r="B389" s="18">
        <v>45973</v>
      </c>
      <c r="C389" s="18" t="s">
        <v>56</v>
      </c>
      <c r="D389" s="7">
        <v>2</v>
      </c>
      <c r="E389" s="8">
        <v>9800</v>
      </c>
      <c r="F389" s="9">
        <v>0</v>
      </c>
      <c r="G389" s="8">
        <f t="shared" si="18"/>
        <v>19600</v>
      </c>
      <c r="H389" s="8">
        <f t="shared" si="19"/>
        <v>12740</v>
      </c>
      <c r="I389" s="8">
        <f t="shared" si="20"/>
        <v>6860</v>
      </c>
      <c r="J389" s="7" t="s">
        <v>14</v>
      </c>
      <c r="K389" s="7" t="s">
        <v>36</v>
      </c>
      <c r="L389" s="10" t="s">
        <v>16</v>
      </c>
    </row>
    <row r="390" spans="1:12" x14ac:dyDescent="0.3">
      <c r="A390" s="6" t="s">
        <v>438</v>
      </c>
      <c r="B390" s="18">
        <v>45699</v>
      </c>
      <c r="C390" s="18" t="s">
        <v>39</v>
      </c>
      <c r="D390" s="7">
        <v>3</v>
      </c>
      <c r="E390" s="8">
        <v>12500</v>
      </c>
      <c r="F390" s="9">
        <v>0</v>
      </c>
      <c r="G390" s="8">
        <f t="shared" si="18"/>
        <v>37500</v>
      </c>
      <c r="H390" s="8">
        <f t="shared" si="19"/>
        <v>24375</v>
      </c>
      <c r="I390" s="8">
        <f t="shared" si="20"/>
        <v>13125</v>
      </c>
      <c r="J390" s="7" t="s">
        <v>14</v>
      </c>
      <c r="K390" s="7" t="s">
        <v>36</v>
      </c>
      <c r="L390" s="10" t="s">
        <v>25</v>
      </c>
    </row>
    <row r="391" spans="1:12" x14ac:dyDescent="0.3">
      <c r="A391" s="6" t="s">
        <v>439</v>
      </c>
      <c r="B391" s="18">
        <v>46183</v>
      </c>
      <c r="C391" s="18" t="s">
        <v>13</v>
      </c>
      <c r="D391" s="7">
        <v>5</v>
      </c>
      <c r="E391" s="8">
        <v>52000</v>
      </c>
      <c r="F391" s="9">
        <v>0.05</v>
      </c>
      <c r="G391" s="8">
        <f t="shared" si="18"/>
        <v>247000</v>
      </c>
      <c r="H391" s="8">
        <f t="shared" si="19"/>
        <v>169000</v>
      </c>
      <c r="I391" s="8">
        <f t="shared" si="20"/>
        <v>78000</v>
      </c>
      <c r="J391" s="7" t="s">
        <v>19</v>
      </c>
      <c r="K391" s="7" t="s">
        <v>79</v>
      </c>
      <c r="L391" s="10" t="s">
        <v>25</v>
      </c>
    </row>
    <row r="392" spans="1:12" x14ac:dyDescent="0.3">
      <c r="A392" s="6" t="s">
        <v>440</v>
      </c>
      <c r="B392" s="18">
        <v>45913</v>
      </c>
      <c r="C392" s="18" t="s">
        <v>30</v>
      </c>
      <c r="D392" s="7">
        <v>2</v>
      </c>
      <c r="E392" s="8">
        <v>682.5</v>
      </c>
      <c r="F392" s="9">
        <v>0.05</v>
      </c>
      <c r="G392" s="8">
        <f t="shared" si="18"/>
        <v>1296.75</v>
      </c>
      <c r="H392" s="8">
        <f t="shared" si="19"/>
        <v>887.25</v>
      </c>
      <c r="I392" s="8">
        <f t="shared" si="20"/>
        <v>409.5</v>
      </c>
      <c r="J392" s="7" t="s">
        <v>19</v>
      </c>
      <c r="K392" s="7" t="s">
        <v>70</v>
      </c>
      <c r="L392" s="10" t="s">
        <v>21</v>
      </c>
    </row>
    <row r="393" spans="1:12" x14ac:dyDescent="0.3">
      <c r="A393" s="6" t="s">
        <v>441</v>
      </c>
      <c r="B393" s="18">
        <v>45885</v>
      </c>
      <c r="C393" s="18" t="s">
        <v>88</v>
      </c>
      <c r="D393" s="7">
        <v>7</v>
      </c>
      <c r="E393" s="8">
        <v>1500</v>
      </c>
      <c r="F393" s="9">
        <v>0.1</v>
      </c>
      <c r="G393" s="8">
        <f t="shared" si="18"/>
        <v>9450</v>
      </c>
      <c r="H393" s="8">
        <f t="shared" si="19"/>
        <v>6825</v>
      </c>
      <c r="I393" s="8">
        <f t="shared" si="20"/>
        <v>2625</v>
      </c>
      <c r="J393" s="7" t="s">
        <v>19</v>
      </c>
      <c r="K393" s="7" t="s">
        <v>34</v>
      </c>
      <c r="L393" s="10" t="s">
        <v>21</v>
      </c>
    </row>
    <row r="394" spans="1:12" x14ac:dyDescent="0.3">
      <c r="A394" s="6" t="s">
        <v>442</v>
      </c>
      <c r="B394" s="18">
        <v>45680</v>
      </c>
      <c r="C394" s="18" t="s">
        <v>30</v>
      </c>
      <c r="D394" s="7">
        <v>8</v>
      </c>
      <c r="E394" s="8">
        <v>650</v>
      </c>
      <c r="F394" s="9">
        <v>0.05</v>
      </c>
      <c r="G394" s="8">
        <f t="shared" si="18"/>
        <v>4940</v>
      </c>
      <c r="H394" s="8">
        <f t="shared" si="19"/>
        <v>3380</v>
      </c>
      <c r="I394" s="8">
        <f t="shared" si="20"/>
        <v>1560</v>
      </c>
      <c r="J394" s="7" t="s">
        <v>19</v>
      </c>
      <c r="K394" s="7" t="s">
        <v>34</v>
      </c>
      <c r="L394" s="10" t="s">
        <v>21</v>
      </c>
    </row>
    <row r="395" spans="1:12" x14ac:dyDescent="0.3">
      <c r="A395" s="6" t="s">
        <v>443</v>
      </c>
      <c r="B395" s="18">
        <v>45701</v>
      </c>
      <c r="C395" s="18" t="s">
        <v>56</v>
      </c>
      <c r="D395" s="7">
        <v>3</v>
      </c>
      <c r="E395" s="8">
        <v>9310</v>
      </c>
      <c r="F395" s="9">
        <v>0.2</v>
      </c>
      <c r="G395" s="8">
        <f t="shared" si="18"/>
        <v>22344</v>
      </c>
      <c r="H395" s="8">
        <f t="shared" si="19"/>
        <v>18154.5</v>
      </c>
      <c r="I395" s="8">
        <f t="shared" si="20"/>
        <v>4189.5</v>
      </c>
      <c r="J395" s="7" t="s">
        <v>23</v>
      </c>
      <c r="K395" s="7" t="s">
        <v>72</v>
      </c>
      <c r="L395" s="10" t="s">
        <v>25</v>
      </c>
    </row>
    <row r="396" spans="1:12" x14ac:dyDescent="0.3">
      <c r="A396" s="6" t="s">
        <v>444</v>
      </c>
      <c r="B396" s="18">
        <v>45688</v>
      </c>
      <c r="C396" s="18" t="s">
        <v>43</v>
      </c>
      <c r="D396" s="7">
        <v>3</v>
      </c>
      <c r="E396" s="8">
        <v>3360</v>
      </c>
      <c r="F396" s="9">
        <v>0.1</v>
      </c>
      <c r="G396" s="8">
        <f t="shared" si="18"/>
        <v>9072</v>
      </c>
      <c r="H396" s="8">
        <f t="shared" si="19"/>
        <v>6552</v>
      </c>
      <c r="I396" s="8">
        <f t="shared" si="20"/>
        <v>2520</v>
      </c>
      <c r="J396" s="7" t="s">
        <v>14</v>
      </c>
      <c r="K396" s="7" t="s">
        <v>40</v>
      </c>
      <c r="L396" s="10" t="s">
        <v>25</v>
      </c>
    </row>
    <row r="397" spans="1:12" x14ac:dyDescent="0.3">
      <c r="A397" s="6" t="s">
        <v>445</v>
      </c>
      <c r="B397" s="18">
        <v>45944</v>
      </c>
      <c r="C397" s="18" t="s">
        <v>56</v>
      </c>
      <c r="D397" s="7">
        <v>1</v>
      </c>
      <c r="E397" s="8">
        <v>9800</v>
      </c>
      <c r="F397" s="9">
        <v>0.2</v>
      </c>
      <c r="G397" s="8">
        <f t="shared" si="18"/>
        <v>7840</v>
      </c>
      <c r="H397" s="8">
        <f t="shared" si="19"/>
        <v>6370</v>
      </c>
      <c r="I397" s="8">
        <f t="shared" si="20"/>
        <v>1470</v>
      </c>
      <c r="J397" s="7" t="s">
        <v>14</v>
      </c>
      <c r="K397" s="7" t="s">
        <v>36</v>
      </c>
      <c r="L397" s="10" t="s">
        <v>25</v>
      </c>
    </row>
    <row r="398" spans="1:12" x14ac:dyDescent="0.3">
      <c r="A398" s="6" t="s">
        <v>446</v>
      </c>
      <c r="B398" s="18">
        <v>46079</v>
      </c>
      <c r="C398" s="18" t="s">
        <v>51</v>
      </c>
      <c r="D398" s="7">
        <v>1</v>
      </c>
      <c r="E398" s="8">
        <v>2730</v>
      </c>
      <c r="F398" s="9">
        <v>0</v>
      </c>
      <c r="G398" s="8">
        <f t="shared" si="18"/>
        <v>2730</v>
      </c>
      <c r="H398" s="8">
        <f t="shared" si="19"/>
        <v>1774.5</v>
      </c>
      <c r="I398" s="8">
        <f t="shared" si="20"/>
        <v>955.5</v>
      </c>
      <c r="J398" s="7" t="s">
        <v>27</v>
      </c>
      <c r="K398" s="7" t="s">
        <v>52</v>
      </c>
      <c r="L398" s="10" t="s">
        <v>21</v>
      </c>
    </row>
    <row r="399" spans="1:12" x14ac:dyDescent="0.3">
      <c r="A399" s="6" t="s">
        <v>447</v>
      </c>
      <c r="B399" s="18">
        <v>46087</v>
      </c>
      <c r="C399" s="18" t="s">
        <v>39</v>
      </c>
      <c r="D399" s="7">
        <v>1</v>
      </c>
      <c r="E399" s="8">
        <v>12500</v>
      </c>
      <c r="F399" s="9">
        <v>0.15</v>
      </c>
      <c r="G399" s="8">
        <f t="shared" si="18"/>
        <v>10625</v>
      </c>
      <c r="H399" s="8">
        <f t="shared" si="19"/>
        <v>8125</v>
      </c>
      <c r="I399" s="8">
        <f t="shared" si="20"/>
        <v>2500</v>
      </c>
      <c r="J399" s="7" t="s">
        <v>27</v>
      </c>
      <c r="K399" s="7" t="s">
        <v>52</v>
      </c>
      <c r="L399" s="10" t="s">
        <v>16</v>
      </c>
    </row>
    <row r="400" spans="1:12" x14ac:dyDescent="0.3">
      <c r="A400" s="6" t="s">
        <v>448</v>
      </c>
      <c r="B400" s="18">
        <v>46154</v>
      </c>
      <c r="C400" s="18" t="s">
        <v>661</v>
      </c>
      <c r="D400" s="7">
        <v>7</v>
      </c>
      <c r="E400" s="8">
        <v>700</v>
      </c>
      <c r="F400" s="9">
        <v>0.1</v>
      </c>
      <c r="G400" s="8">
        <f t="shared" si="18"/>
        <v>4410</v>
      </c>
      <c r="H400" s="8">
        <f t="shared" si="19"/>
        <v>3185</v>
      </c>
      <c r="I400" s="8">
        <f t="shared" si="20"/>
        <v>1225</v>
      </c>
      <c r="J400" s="7" t="s">
        <v>14</v>
      </c>
      <c r="K400" s="7" t="s">
        <v>15</v>
      </c>
      <c r="L400" s="10" t="s">
        <v>25</v>
      </c>
    </row>
    <row r="401" spans="1:12" x14ac:dyDescent="0.3">
      <c r="A401" s="6" t="s">
        <v>449</v>
      </c>
      <c r="B401" s="18">
        <v>45882</v>
      </c>
      <c r="C401" s="18" t="s">
        <v>13</v>
      </c>
      <c r="D401" s="7">
        <v>1</v>
      </c>
      <c r="E401" s="8">
        <v>52000</v>
      </c>
      <c r="F401" s="9">
        <v>0.15</v>
      </c>
      <c r="G401" s="8">
        <f t="shared" si="18"/>
        <v>44200</v>
      </c>
      <c r="H401" s="8">
        <f t="shared" si="19"/>
        <v>33800</v>
      </c>
      <c r="I401" s="8">
        <f t="shared" si="20"/>
        <v>10400</v>
      </c>
      <c r="J401" s="7" t="s">
        <v>27</v>
      </c>
      <c r="K401" s="7" t="s">
        <v>28</v>
      </c>
      <c r="L401" s="10" t="s">
        <v>21</v>
      </c>
    </row>
    <row r="402" spans="1:12" x14ac:dyDescent="0.3">
      <c r="A402" s="6" t="s">
        <v>450</v>
      </c>
      <c r="B402" s="18">
        <v>45760</v>
      </c>
      <c r="C402" s="18" t="s">
        <v>39</v>
      </c>
      <c r="D402" s="7">
        <v>5</v>
      </c>
      <c r="E402" s="8">
        <v>12500</v>
      </c>
      <c r="F402" s="9">
        <v>0.2</v>
      </c>
      <c r="G402" s="8">
        <f t="shared" si="18"/>
        <v>50000</v>
      </c>
      <c r="H402" s="8">
        <f t="shared" si="19"/>
        <v>40625</v>
      </c>
      <c r="I402" s="8">
        <f t="shared" si="20"/>
        <v>9375</v>
      </c>
      <c r="J402" s="7" t="s">
        <v>19</v>
      </c>
      <c r="K402" s="7" t="s">
        <v>20</v>
      </c>
      <c r="L402" s="10" t="s">
        <v>16</v>
      </c>
    </row>
    <row r="403" spans="1:12" x14ac:dyDescent="0.3">
      <c r="A403" s="6" t="s">
        <v>451</v>
      </c>
      <c r="B403" s="18">
        <v>46055</v>
      </c>
      <c r="C403" s="18" t="s">
        <v>661</v>
      </c>
      <c r="D403" s="7">
        <v>3</v>
      </c>
      <c r="E403" s="8">
        <v>700</v>
      </c>
      <c r="F403" s="9">
        <v>0.05</v>
      </c>
      <c r="G403" s="8">
        <f t="shared" si="18"/>
        <v>1995</v>
      </c>
      <c r="H403" s="8">
        <f t="shared" si="19"/>
        <v>1365</v>
      </c>
      <c r="I403" s="8">
        <f t="shared" si="20"/>
        <v>630</v>
      </c>
      <c r="J403" s="7" t="s">
        <v>27</v>
      </c>
      <c r="K403" s="7" t="s">
        <v>31</v>
      </c>
      <c r="L403" s="10" t="s">
        <v>16</v>
      </c>
    </row>
    <row r="404" spans="1:12" x14ac:dyDescent="0.3">
      <c r="A404" s="6" t="s">
        <v>452</v>
      </c>
      <c r="B404" s="18">
        <v>45686</v>
      </c>
      <c r="C404" s="18" t="s">
        <v>661</v>
      </c>
      <c r="D404" s="7">
        <v>4</v>
      </c>
      <c r="E404" s="8">
        <v>700</v>
      </c>
      <c r="F404" s="9">
        <v>0.15</v>
      </c>
      <c r="G404" s="8">
        <f t="shared" si="18"/>
        <v>2380</v>
      </c>
      <c r="H404" s="8">
        <f t="shared" si="19"/>
        <v>1820</v>
      </c>
      <c r="I404" s="8">
        <f t="shared" si="20"/>
        <v>560</v>
      </c>
      <c r="J404" s="7" t="s">
        <v>27</v>
      </c>
      <c r="K404" s="7" t="s">
        <v>28</v>
      </c>
      <c r="L404" s="10" t="s">
        <v>25</v>
      </c>
    </row>
    <row r="405" spans="1:12" x14ac:dyDescent="0.3">
      <c r="A405" s="6" t="s">
        <v>453</v>
      </c>
      <c r="B405" s="18">
        <v>45696</v>
      </c>
      <c r="C405" s="18" t="s">
        <v>30</v>
      </c>
      <c r="D405" s="7">
        <v>4</v>
      </c>
      <c r="E405" s="8">
        <v>617.5</v>
      </c>
      <c r="F405" s="9">
        <v>0.2</v>
      </c>
      <c r="G405" s="8">
        <f t="shared" si="18"/>
        <v>1976</v>
      </c>
      <c r="H405" s="8">
        <f t="shared" si="19"/>
        <v>1605.5</v>
      </c>
      <c r="I405" s="8">
        <f t="shared" si="20"/>
        <v>370.5</v>
      </c>
      <c r="J405" s="7" t="s">
        <v>14</v>
      </c>
      <c r="K405" s="7" t="s">
        <v>15</v>
      </c>
      <c r="L405" s="10" t="s">
        <v>16</v>
      </c>
    </row>
    <row r="406" spans="1:12" x14ac:dyDescent="0.3">
      <c r="A406" s="6" t="s">
        <v>454</v>
      </c>
      <c r="B406" s="18">
        <v>46147</v>
      </c>
      <c r="C406" s="18" t="s">
        <v>13</v>
      </c>
      <c r="D406" s="7">
        <v>4</v>
      </c>
      <c r="E406" s="8">
        <v>52000</v>
      </c>
      <c r="F406" s="9">
        <v>0.05</v>
      </c>
      <c r="G406" s="8">
        <f t="shared" si="18"/>
        <v>197600</v>
      </c>
      <c r="H406" s="8">
        <f t="shared" si="19"/>
        <v>135200</v>
      </c>
      <c r="I406" s="8">
        <f t="shared" si="20"/>
        <v>62400</v>
      </c>
      <c r="J406" s="7" t="s">
        <v>27</v>
      </c>
      <c r="K406" s="7" t="s">
        <v>28</v>
      </c>
      <c r="L406" s="10" t="s">
        <v>25</v>
      </c>
    </row>
    <row r="407" spans="1:12" x14ac:dyDescent="0.3">
      <c r="A407" s="6" t="s">
        <v>455</v>
      </c>
      <c r="B407" s="18">
        <v>45718</v>
      </c>
      <c r="C407" s="18" t="s">
        <v>13</v>
      </c>
      <c r="D407" s="7">
        <v>3</v>
      </c>
      <c r="E407" s="8">
        <v>52000</v>
      </c>
      <c r="F407" s="9">
        <v>0</v>
      </c>
      <c r="G407" s="8">
        <f t="shared" si="18"/>
        <v>156000</v>
      </c>
      <c r="H407" s="8">
        <f t="shared" si="19"/>
        <v>101400</v>
      </c>
      <c r="I407" s="8">
        <f t="shared" si="20"/>
        <v>54600</v>
      </c>
      <c r="J407" s="7" t="s">
        <v>27</v>
      </c>
      <c r="K407" s="7" t="s">
        <v>49</v>
      </c>
      <c r="L407" s="10" t="s">
        <v>25</v>
      </c>
    </row>
    <row r="408" spans="1:12" x14ac:dyDescent="0.3">
      <c r="A408" s="6" t="s">
        <v>456</v>
      </c>
      <c r="B408" s="18">
        <v>46063</v>
      </c>
      <c r="C408" s="18" t="s">
        <v>18</v>
      </c>
      <c r="D408" s="7">
        <v>6</v>
      </c>
      <c r="E408" s="8">
        <v>1710</v>
      </c>
      <c r="F408" s="9">
        <v>0.1</v>
      </c>
      <c r="G408" s="8">
        <f t="shared" si="18"/>
        <v>9234</v>
      </c>
      <c r="H408" s="8">
        <f t="shared" si="19"/>
        <v>6669</v>
      </c>
      <c r="I408" s="8">
        <f t="shared" si="20"/>
        <v>2565</v>
      </c>
      <c r="J408" s="7" t="s">
        <v>27</v>
      </c>
      <c r="K408" s="7" t="s">
        <v>28</v>
      </c>
      <c r="L408" s="10" t="s">
        <v>21</v>
      </c>
    </row>
    <row r="409" spans="1:12" x14ac:dyDescent="0.3">
      <c r="A409" s="6" t="s">
        <v>457</v>
      </c>
      <c r="B409" s="18">
        <v>46105</v>
      </c>
      <c r="C409" s="18" t="s">
        <v>56</v>
      </c>
      <c r="D409" s="7">
        <v>3</v>
      </c>
      <c r="E409" s="8">
        <v>9800</v>
      </c>
      <c r="F409" s="9">
        <v>0.2</v>
      </c>
      <c r="G409" s="8">
        <f t="shared" si="18"/>
        <v>23520</v>
      </c>
      <c r="H409" s="8">
        <f t="shared" si="19"/>
        <v>19110</v>
      </c>
      <c r="I409" s="8">
        <f t="shared" si="20"/>
        <v>4410</v>
      </c>
      <c r="J409" s="7" t="s">
        <v>27</v>
      </c>
      <c r="K409" s="7" t="s">
        <v>28</v>
      </c>
      <c r="L409" s="10" t="s">
        <v>16</v>
      </c>
    </row>
    <row r="410" spans="1:12" x14ac:dyDescent="0.3">
      <c r="A410" s="6" t="s">
        <v>458</v>
      </c>
      <c r="B410" s="18">
        <v>45837</v>
      </c>
      <c r="C410" s="18" t="s">
        <v>43</v>
      </c>
      <c r="D410" s="7">
        <v>5</v>
      </c>
      <c r="E410" s="8">
        <v>3200</v>
      </c>
      <c r="F410" s="9">
        <v>0.05</v>
      </c>
      <c r="G410" s="8">
        <f t="shared" si="18"/>
        <v>15200</v>
      </c>
      <c r="H410" s="8">
        <f t="shared" si="19"/>
        <v>10400</v>
      </c>
      <c r="I410" s="8">
        <f t="shared" si="20"/>
        <v>4800</v>
      </c>
      <c r="J410" s="7" t="s">
        <v>14</v>
      </c>
      <c r="K410" s="7" t="s">
        <v>15</v>
      </c>
      <c r="L410" s="10" t="s">
        <v>16</v>
      </c>
    </row>
    <row r="411" spans="1:12" x14ac:dyDescent="0.3">
      <c r="A411" s="6" t="s">
        <v>459</v>
      </c>
      <c r="B411" s="18">
        <v>46058</v>
      </c>
      <c r="C411" s="18" t="s">
        <v>18</v>
      </c>
      <c r="D411" s="7">
        <v>3</v>
      </c>
      <c r="E411" s="8">
        <v>1710</v>
      </c>
      <c r="F411" s="9">
        <v>0.2</v>
      </c>
      <c r="G411" s="8">
        <f t="shared" si="18"/>
        <v>4104</v>
      </c>
      <c r="H411" s="8">
        <f t="shared" si="19"/>
        <v>3334.5</v>
      </c>
      <c r="I411" s="8">
        <f t="shared" si="20"/>
        <v>769.5</v>
      </c>
      <c r="J411" s="7" t="s">
        <v>27</v>
      </c>
      <c r="K411" s="7" t="s">
        <v>28</v>
      </c>
      <c r="L411" s="10" t="s">
        <v>16</v>
      </c>
    </row>
    <row r="412" spans="1:12" x14ac:dyDescent="0.3">
      <c r="A412" s="6" t="s">
        <v>460</v>
      </c>
      <c r="B412" s="18">
        <v>45764</v>
      </c>
      <c r="C412" s="18" t="s">
        <v>56</v>
      </c>
      <c r="D412" s="7">
        <v>6</v>
      </c>
      <c r="E412" s="8">
        <v>9800</v>
      </c>
      <c r="F412" s="9">
        <v>0</v>
      </c>
      <c r="G412" s="8">
        <f t="shared" si="18"/>
        <v>58800</v>
      </c>
      <c r="H412" s="8">
        <f t="shared" si="19"/>
        <v>38220</v>
      </c>
      <c r="I412" s="8">
        <f t="shared" si="20"/>
        <v>20580</v>
      </c>
      <c r="J412" s="7" t="s">
        <v>14</v>
      </c>
      <c r="K412" s="7" t="s">
        <v>36</v>
      </c>
      <c r="L412" s="10" t="s">
        <v>25</v>
      </c>
    </row>
    <row r="413" spans="1:12" x14ac:dyDescent="0.3">
      <c r="A413" s="6" t="s">
        <v>461</v>
      </c>
      <c r="B413" s="18">
        <v>45829</v>
      </c>
      <c r="C413" s="18" t="s">
        <v>30</v>
      </c>
      <c r="D413" s="7">
        <v>8</v>
      </c>
      <c r="E413" s="8">
        <v>650</v>
      </c>
      <c r="F413" s="9">
        <v>0</v>
      </c>
      <c r="G413" s="8">
        <f t="shared" si="18"/>
        <v>5200</v>
      </c>
      <c r="H413" s="8">
        <f t="shared" si="19"/>
        <v>3380</v>
      </c>
      <c r="I413" s="8">
        <f t="shared" si="20"/>
        <v>1820</v>
      </c>
      <c r="J413" s="7" t="s">
        <v>27</v>
      </c>
      <c r="K413" s="7" t="s">
        <v>28</v>
      </c>
      <c r="L413" s="10" t="s">
        <v>21</v>
      </c>
    </row>
    <row r="414" spans="1:12" x14ac:dyDescent="0.3">
      <c r="A414" s="6" t="s">
        <v>462</v>
      </c>
      <c r="B414" s="18">
        <v>45727</v>
      </c>
      <c r="C414" s="18" t="s">
        <v>661</v>
      </c>
      <c r="D414" s="7">
        <v>2</v>
      </c>
      <c r="E414" s="8">
        <v>700</v>
      </c>
      <c r="F414" s="9">
        <v>0</v>
      </c>
      <c r="G414" s="8">
        <f t="shared" si="18"/>
        <v>1400</v>
      </c>
      <c r="H414" s="8">
        <f t="shared" si="19"/>
        <v>910</v>
      </c>
      <c r="I414" s="8">
        <f t="shared" si="20"/>
        <v>490</v>
      </c>
      <c r="J414" s="7" t="s">
        <v>19</v>
      </c>
      <c r="K414" s="7" t="s">
        <v>79</v>
      </c>
      <c r="L414" s="10" t="s">
        <v>25</v>
      </c>
    </row>
    <row r="415" spans="1:12" x14ac:dyDescent="0.3">
      <c r="A415" s="6" t="s">
        <v>463</v>
      </c>
      <c r="B415" s="18">
        <v>46087</v>
      </c>
      <c r="C415" s="18" t="s">
        <v>88</v>
      </c>
      <c r="D415" s="7">
        <v>8</v>
      </c>
      <c r="E415" s="8">
        <v>1575</v>
      </c>
      <c r="F415" s="9">
        <v>0.15</v>
      </c>
      <c r="G415" s="8">
        <f t="shared" si="18"/>
        <v>10710</v>
      </c>
      <c r="H415" s="8">
        <f t="shared" si="19"/>
        <v>8190</v>
      </c>
      <c r="I415" s="8">
        <f t="shared" si="20"/>
        <v>2520</v>
      </c>
      <c r="J415" s="7" t="s">
        <v>27</v>
      </c>
      <c r="K415" s="7" t="s">
        <v>52</v>
      </c>
      <c r="L415" s="10" t="s">
        <v>21</v>
      </c>
    </row>
    <row r="416" spans="1:12" x14ac:dyDescent="0.3">
      <c r="A416" s="6" t="s">
        <v>464</v>
      </c>
      <c r="B416" s="18">
        <v>46148</v>
      </c>
      <c r="C416" s="18" t="s">
        <v>18</v>
      </c>
      <c r="D416" s="7">
        <v>3</v>
      </c>
      <c r="E416" s="8">
        <v>1800</v>
      </c>
      <c r="F416" s="9">
        <v>0.15</v>
      </c>
      <c r="G416" s="8">
        <f t="shared" si="18"/>
        <v>4590</v>
      </c>
      <c r="H416" s="8">
        <f t="shared" si="19"/>
        <v>3510</v>
      </c>
      <c r="I416" s="8">
        <f t="shared" si="20"/>
        <v>1080</v>
      </c>
      <c r="J416" s="7" t="s">
        <v>19</v>
      </c>
      <c r="K416" s="7" t="s">
        <v>70</v>
      </c>
      <c r="L416" s="10" t="s">
        <v>25</v>
      </c>
    </row>
    <row r="417" spans="1:12" x14ac:dyDescent="0.3">
      <c r="A417" s="6" t="s">
        <v>465</v>
      </c>
      <c r="B417" s="18">
        <v>45678</v>
      </c>
      <c r="C417" s="18" t="s">
        <v>661</v>
      </c>
      <c r="D417" s="7">
        <v>2</v>
      </c>
      <c r="E417" s="8">
        <v>700</v>
      </c>
      <c r="F417" s="9">
        <v>0</v>
      </c>
      <c r="G417" s="8">
        <f t="shared" si="18"/>
        <v>1400</v>
      </c>
      <c r="H417" s="8">
        <f t="shared" si="19"/>
        <v>910</v>
      </c>
      <c r="I417" s="8">
        <f t="shared" si="20"/>
        <v>490</v>
      </c>
      <c r="J417" s="7" t="s">
        <v>27</v>
      </c>
      <c r="K417" s="7" t="s">
        <v>28</v>
      </c>
      <c r="L417" s="10" t="s">
        <v>25</v>
      </c>
    </row>
    <row r="418" spans="1:12" x14ac:dyDescent="0.3">
      <c r="A418" s="6" t="s">
        <v>466</v>
      </c>
      <c r="B418" s="18">
        <v>45822</v>
      </c>
      <c r="C418" s="18" t="s">
        <v>30</v>
      </c>
      <c r="D418" s="7">
        <v>6</v>
      </c>
      <c r="E418" s="8">
        <v>617.5</v>
      </c>
      <c r="F418" s="9">
        <v>0.2</v>
      </c>
      <c r="G418" s="8">
        <f t="shared" si="18"/>
        <v>2964</v>
      </c>
      <c r="H418" s="8">
        <f t="shared" si="19"/>
        <v>2408.25</v>
      </c>
      <c r="I418" s="8">
        <f t="shared" si="20"/>
        <v>555.75</v>
      </c>
      <c r="J418" s="7" t="s">
        <v>23</v>
      </c>
      <c r="K418" s="7" t="s">
        <v>61</v>
      </c>
      <c r="L418" s="10" t="s">
        <v>25</v>
      </c>
    </row>
    <row r="419" spans="1:12" x14ac:dyDescent="0.3">
      <c r="A419" s="6" t="s">
        <v>467</v>
      </c>
      <c r="B419" s="18">
        <v>45826</v>
      </c>
      <c r="C419" s="18" t="s">
        <v>18</v>
      </c>
      <c r="D419" s="7">
        <v>3</v>
      </c>
      <c r="E419" s="8">
        <v>1890</v>
      </c>
      <c r="F419" s="9">
        <v>0</v>
      </c>
      <c r="G419" s="8">
        <f t="shared" si="18"/>
        <v>5670</v>
      </c>
      <c r="H419" s="8">
        <f t="shared" si="19"/>
        <v>3685.5</v>
      </c>
      <c r="I419" s="8">
        <f t="shared" si="20"/>
        <v>1984.5</v>
      </c>
      <c r="J419" s="7" t="s">
        <v>19</v>
      </c>
      <c r="K419" s="7" t="s">
        <v>34</v>
      </c>
      <c r="L419" s="10" t="s">
        <v>21</v>
      </c>
    </row>
    <row r="420" spans="1:12" x14ac:dyDescent="0.3">
      <c r="A420" s="6" t="s">
        <v>468</v>
      </c>
      <c r="B420" s="18">
        <v>45852</v>
      </c>
      <c r="C420" s="18" t="s">
        <v>43</v>
      </c>
      <c r="D420" s="7">
        <v>5</v>
      </c>
      <c r="E420" s="8">
        <v>3200</v>
      </c>
      <c r="F420" s="9">
        <v>0.1</v>
      </c>
      <c r="G420" s="8">
        <f t="shared" si="18"/>
        <v>14400</v>
      </c>
      <c r="H420" s="8">
        <f t="shared" si="19"/>
        <v>10400</v>
      </c>
      <c r="I420" s="8">
        <f t="shared" si="20"/>
        <v>4000</v>
      </c>
      <c r="J420" s="7" t="s">
        <v>14</v>
      </c>
      <c r="K420" s="7" t="s">
        <v>15</v>
      </c>
      <c r="L420" s="10" t="s">
        <v>21</v>
      </c>
    </row>
    <row r="421" spans="1:12" x14ac:dyDescent="0.3">
      <c r="A421" s="6" t="s">
        <v>469</v>
      </c>
      <c r="B421" s="18">
        <v>46060</v>
      </c>
      <c r="C421" s="18" t="s">
        <v>18</v>
      </c>
      <c r="D421" s="7">
        <v>3</v>
      </c>
      <c r="E421" s="8">
        <v>1890</v>
      </c>
      <c r="F421" s="9">
        <v>0</v>
      </c>
      <c r="G421" s="8">
        <f t="shared" si="18"/>
        <v>5670</v>
      </c>
      <c r="H421" s="8">
        <f t="shared" si="19"/>
        <v>3685.5</v>
      </c>
      <c r="I421" s="8">
        <f t="shared" si="20"/>
        <v>1984.5</v>
      </c>
      <c r="J421" s="7" t="s">
        <v>27</v>
      </c>
      <c r="K421" s="7" t="s">
        <v>49</v>
      </c>
      <c r="L421" s="10" t="s">
        <v>25</v>
      </c>
    </row>
    <row r="422" spans="1:12" x14ac:dyDescent="0.3">
      <c r="A422" s="6" t="s">
        <v>470</v>
      </c>
      <c r="B422" s="18">
        <v>45747</v>
      </c>
      <c r="C422" s="18" t="s">
        <v>60</v>
      </c>
      <c r="D422" s="7">
        <v>4</v>
      </c>
      <c r="E422" s="8">
        <v>2310</v>
      </c>
      <c r="F422" s="9">
        <v>0</v>
      </c>
      <c r="G422" s="8">
        <f t="shared" si="18"/>
        <v>9240</v>
      </c>
      <c r="H422" s="8">
        <f t="shared" si="19"/>
        <v>6006</v>
      </c>
      <c r="I422" s="8">
        <f t="shared" si="20"/>
        <v>3234</v>
      </c>
      <c r="J422" s="7" t="s">
        <v>19</v>
      </c>
      <c r="K422" s="7" t="s">
        <v>20</v>
      </c>
      <c r="L422" s="10" t="s">
        <v>21</v>
      </c>
    </row>
    <row r="423" spans="1:12" x14ac:dyDescent="0.3">
      <c r="A423" s="6" t="s">
        <v>471</v>
      </c>
      <c r="B423" s="18">
        <v>45956</v>
      </c>
      <c r="C423" s="18" t="s">
        <v>30</v>
      </c>
      <c r="D423" s="7">
        <v>2</v>
      </c>
      <c r="E423" s="8">
        <v>682.5</v>
      </c>
      <c r="F423" s="9">
        <v>0.1</v>
      </c>
      <c r="G423" s="8">
        <f t="shared" si="18"/>
        <v>1228.5</v>
      </c>
      <c r="H423" s="8">
        <f t="shared" si="19"/>
        <v>887.25</v>
      </c>
      <c r="I423" s="8">
        <f t="shared" si="20"/>
        <v>341.25</v>
      </c>
      <c r="J423" s="7" t="s">
        <v>23</v>
      </c>
      <c r="K423" s="7" t="s">
        <v>72</v>
      </c>
      <c r="L423" s="10" t="s">
        <v>25</v>
      </c>
    </row>
    <row r="424" spans="1:12" x14ac:dyDescent="0.3">
      <c r="A424" s="6" t="s">
        <v>472</v>
      </c>
      <c r="B424" s="18">
        <v>45929</v>
      </c>
      <c r="C424" s="18" t="s">
        <v>30</v>
      </c>
      <c r="D424" s="7">
        <v>3</v>
      </c>
      <c r="E424" s="8">
        <v>682.5</v>
      </c>
      <c r="F424" s="9">
        <v>0.1</v>
      </c>
      <c r="G424" s="8">
        <f t="shared" si="18"/>
        <v>1842.75</v>
      </c>
      <c r="H424" s="8">
        <f t="shared" si="19"/>
        <v>1330.875</v>
      </c>
      <c r="I424" s="8">
        <f t="shared" si="20"/>
        <v>511.875</v>
      </c>
      <c r="J424" s="7" t="s">
        <v>23</v>
      </c>
      <c r="K424" s="7" t="s">
        <v>66</v>
      </c>
      <c r="L424" s="10" t="s">
        <v>21</v>
      </c>
    </row>
    <row r="425" spans="1:12" x14ac:dyDescent="0.3">
      <c r="A425" s="6" t="s">
        <v>473</v>
      </c>
      <c r="B425" s="18">
        <v>46114</v>
      </c>
      <c r="C425" s="18" t="s">
        <v>13</v>
      </c>
      <c r="D425" s="7">
        <v>8</v>
      </c>
      <c r="E425" s="8">
        <v>52000</v>
      </c>
      <c r="F425" s="9">
        <v>0.15</v>
      </c>
      <c r="G425" s="8">
        <f t="shared" si="18"/>
        <v>353600</v>
      </c>
      <c r="H425" s="8">
        <f t="shared" si="19"/>
        <v>270400</v>
      </c>
      <c r="I425" s="8">
        <f t="shared" si="20"/>
        <v>83200</v>
      </c>
      <c r="J425" s="7" t="s">
        <v>27</v>
      </c>
      <c r="K425" s="7" t="s">
        <v>28</v>
      </c>
      <c r="L425" s="10" t="s">
        <v>25</v>
      </c>
    </row>
    <row r="426" spans="1:12" x14ac:dyDescent="0.3">
      <c r="A426" s="6" t="s">
        <v>474</v>
      </c>
      <c r="B426" s="18">
        <v>45721</v>
      </c>
      <c r="C426" s="18" t="s">
        <v>88</v>
      </c>
      <c r="D426" s="7">
        <v>2</v>
      </c>
      <c r="E426" s="8">
        <v>1425</v>
      </c>
      <c r="F426" s="9">
        <v>0.1</v>
      </c>
      <c r="G426" s="8">
        <f t="shared" si="18"/>
        <v>2565</v>
      </c>
      <c r="H426" s="8">
        <f t="shared" si="19"/>
        <v>1852.5</v>
      </c>
      <c r="I426" s="8">
        <f t="shared" si="20"/>
        <v>712.5</v>
      </c>
      <c r="J426" s="7" t="s">
        <v>23</v>
      </c>
      <c r="K426" s="7" t="s">
        <v>24</v>
      </c>
      <c r="L426" s="10" t="s">
        <v>16</v>
      </c>
    </row>
    <row r="427" spans="1:12" x14ac:dyDescent="0.3">
      <c r="A427" s="6" t="s">
        <v>475</v>
      </c>
      <c r="B427" s="18">
        <v>45720</v>
      </c>
      <c r="C427" s="18" t="s">
        <v>43</v>
      </c>
      <c r="D427" s="7">
        <v>8</v>
      </c>
      <c r="E427" s="8">
        <v>3360</v>
      </c>
      <c r="F427" s="9">
        <v>0.2</v>
      </c>
      <c r="G427" s="8">
        <f t="shared" si="18"/>
        <v>21504</v>
      </c>
      <c r="H427" s="8">
        <f t="shared" si="19"/>
        <v>17472</v>
      </c>
      <c r="I427" s="8">
        <f t="shared" si="20"/>
        <v>4032</v>
      </c>
      <c r="J427" s="7" t="s">
        <v>14</v>
      </c>
      <c r="K427" s="7" t="s">
        <v>47</v>
      </c>
      <c r="L427" s="10" t="s">
        <v>25</v>
      </c>
    </row>
    <row r="428" spans="1:12" x14ac:dyDescent="0.3">
      <c r="A428" s="6" t="s">
        <v>476</v>
      </c>
      <c r="B428" s="18">
        <v>45738</v>
      </c>
      <c r="C428" s="18" t="s">
        <v>43</v>
      </c>
      <c r="D428" s="7">
        <v>3</v>
      </c>
      <c r="E428" s="8">
        <v>3040</v>
      </c>
      <c r="F428" s="9">
        <v>0</v>
      </c>
      <c r="G428" s="8">
        <f t="shared" si="18"/>
        <v>9120</v>
      </c>
      <c r="H428" s="8">
        <f t="shared" si="19"/>
        <v>5928</v>
      </c>
      <c r="I428" s="8">
        <f t="shared" si="20"/>
        <v>3192</v>
      </c>
      <c r="J428" s="7" t="s">
        <v>23</v>
      </c>
      <c r="K428" s="7" t="s">
        <v>24</v>
      </c>
      <c r="L428" s="10" t="s">
        <v>21</v>
      </c>
    </row>
    <row r="429" spans="1:12" x14ac:dyDescent="0.3">
      <c r="A429" s="6" t="s">
        <v>477</v>
      </c>
      <c r="B429" s="18">
        <v>45874</v>
      </c>
      <c r="C429" s="18" t="s">
        <v>39</v>
      </c>
      <c r="D429" s="7">
        <v>1</v>
      </c>
      <c r="E429" s="8">
        <v>12500</v>
      </c>
      <c r="F429" s="9">
        <v>0.15</v>
      </c>
      <c r="G429" s="8">
        <f t="shared" si="18"/>
        <v>10625</v>
      </c>
      <c r="H429" s="8">
        <f t="shared" si="19"/>
        <v>8125</v>
      </c>
      <c r="I429" s="8">
        <f t="shared" si="20"/>
        <v>2500</v>
      </c>
      <c r="J429" s="7" t="s">
        <v>19</v>
      </c>
      <c r="K429" s="7" t="s">
        <v>79</v>
      </c>
      <c r="L429" s="10" t="s">
        <v>21</v>
      </c>
    </row>
    <row r="430" spans="1:12" x14ac:dyDescent="0.3">
      <c r="A430" s="6" t="s">
        <v>478</v>
      </c>
      <c r="B430" s="18">
        <v>45809</v>
      </c>
      <c r="C430" s="18" t="s">
        <v>18</v>
      </c>
      <c r="D430" s="7">
        <v>6</v>
      </c>
      <c r="E430" s="8">
        <v>1800</v>
      </c>
      <c r="F430" s="9">
        <v>0</v>
      </c>
      <c r="G430" s="8">
        <f t="shared" si="18"/>
        <v>10800</v>
      </c>
      <c r="H430" s="8">
        <f t="shared" si="19"/>
        <v>7020</v>
      </c>
      <c r="I430" s="8">
        <f t="shared" si="20"/>
        <v>3780</v>
      </c>
      <c r="J430" s="7" t="s">
        <v>19</v>
      </c>
      <c r="K430" s="7" t="s">
        <v>79</v>
      </c>
      <c r="L430" s="10" t="s">
        <v>16</v>
      </c>
    </row>
    <row r="431" spans="1:12" x14ac:dyDescent="0.3">
      <c r="A431" s="6" t="s">
        <v>479</v>
      </c>
      <c r="B431" s="18">
        <v>46064</v>
      </c>
      <c r="C431" s="18" t="s">
        <v>51</v>
      </c>
      <c r="D431" s="7">
        <v>5</v>
      </c>
      <c r="E431" s="8">
        <v>2600</v>
      </c>
      <c r="F431" s="9">
        <v>0.2</v>
      </c>
      <c r="G431" s="8">
        <f t="shared" si="18"/>
        <v>10400</v>
      </c>
      <c r="H431" s="8">
        <f t="shared" si="19"/>
        <v>8450</v>
      </c>
      <c r="I431" s="8">
        <f t="shared" si="20"/>
        <v>1950</v>
      </c>
      <c r="J431" s="7" t="s">
        <v>23</v>
      </c>
      <c r="K431" s="7" t="s">
        <v>61</v>
      </c>
      <c r="L431" s="10" t="s">
        <v>16</v>
      </c>
    </row>
    <row r="432" spans="1:12" x14ac:dyDescent="0.3">
      <c r="A432" s="6" t="s">
        <v>480</v>
      </c>
      <c r="B432" s="18">
        <v>46193</v>
      </c>
      <c r="C432" s="18" t="s">
        <v>43</v>
      </c>
      <c r="D432" s="7">
        <v>7</v>
      </c>
      <c r="E432" s="8">
        <v>3040</v>
      </c>
      <c r="F432" s="9">
        <v>0.05</v>
      </c>
      <c r="G432" s="8">
        <f t="shared" si="18"/>
        <v>20216</v>
      </c>
      <c r="H432" s="8">
        <f t="shared" si="19"/>
        <v>13832</v>
      </c>
      <c r="I432" s="8">
        <f t="shared" si="20"/>
        <v>6384</v>
      </c>
      <c r="J432" s="7" t="s">
        <v>14</v>
      </c>
      <c r="K432" s="7" t="s">
        <v>15</v>
      </c>
      <c r="L432" s="10" t="s">
        <v>21</v>
      </c>
    </row>
    <row r="433" spans="1:12" x14ac:dyDescent="0.3">
      <c r="A433" s="6" t="s">
        <v>481</v>
      </c>
      <c r="B433" s="18">
        <v>45761</v>
      </c>
      <c r="C433" s="18" t="s">
        <v>60</v>
      </c>
      <c r="D433" s="7">
        <v>7</v>
      </c>
      <c r="E433" s="8">
        <v>2200</v>
      </c>
      <c r="F433" s="9">
        <v>0.1</v>
      </c>
      <c r="G433" s="8">
        <f t="shared" si="18"/>
        <v>13860</v>
      </c>
      <c r="H433" s="8">
        <f t="shared" si="19"/>
        <v>10010</v>
      </c>
      <c r="I433" s="8">
        <f t="shared" si="20"/>
        <v>3850</v>
      </c>
      <c r="J433" s="7" t="s">
        <v>23</v>
      </c>
      <c r="K433" s="7" t="s">
        <v>72</v>
      </c>
      <c r="L433" s="10" t="s">
        <v>16</v>
      </c>
    </row>
    <row r="434" spans="1:12" x14ac:dyDescent="0.3">
      <c r="A434" s="6" t="s">
        <v>482</v>
      </c>
      <c r="B434" s="18">
        <v>46142</v>
      </c>
      <c r="C434" s="18" t="s">
        <v>13</v>
      </c>
      <c r="D434" s="7">
        <v>5</v>
      </c>
      <c r="E434" s="8">
        <v>52000</v>
      </c>
      <c r="F434" s="9">
        <v>0.15</v>
      </c>
      <c r="G434" s="8">
        <f t="shared" si="18"/>
        <v>221000</v>
      </c>
      <c r="H434" s="8">
        <f t="shared" si="19"/>
        <v>169000</v>
      </c>
      <c r="I434" s="8">
        <f t="shared" si="20"/>
        <v>52000</v>
      </c>
      <c r="J434" s="7" t="s">
        <v>14</v>
      </c>
      <c r="K434" s="7" t="s">
        <v>47</v>
      </c>
      <c r="L434" s="10" t="s">
        <v>21</v>
      </c>
    </row>
    <row r="435" spans="1:12" x14ac:dyDescent="0.3">
      <c r="A435" s="6" t="s">
        <v>483</v>
      </c>
      <c r="B435" s="18">
        <v>46063</v>
      </c>
      <c r="C435" s="18" t="s">
        <v>661</v>
      </c>
      <c r="D435" s="7">
        <v>1</v>
      </c>
      <c r="E435" s="8">
        <v>700</v>
      </c>
      <c r="F435" s="9">
        <v>0.15</v>
      </c>
      <c r="G435" s="8">
        <f t="shared" si="18"/>
        <v>595</v>
      </c>
      <c r="H435" s="8">
        <f t="shared" si="19"/>
        <v>455</v>
      </c>
      <c r="I435" s="8">
        <f t="shared" si="20"/>
        <v>140</v>
      </c>
      <c r="J435" s="7" t="s">
        <v>27</v>
      </c>
      <c r="K435" s="7" t="s">
        <v>31</v>
      </c>
      <c r="L435" s="10" t="s">
        <v>21</v>
      </c>
    </row>
    <row r="436" spans="1:12" x14ac:dyDescent="0.3">
      <c r="A436" s="6" t="s">
        <v>484</v>
      </c>
      <c r="B436" s="18">
        <v>46003</v>
      </c>
      <c r="C436" s="18" t="s">
        <v>60</v>
      </c>
      <c r="D436" s="7">
        <v>5</v>
      </c>
      <c r="E436" s="8">
        <v>2200</v>
      </c>
      <c r="F436" s="9">
        <v>0.15</v>
      </c>
      <c r="G436" s="8">
        <f t="shared" si="18"/>
        <v>9350</v>
      </c>
      <c r="H436" s="8">
        <f t="shared" si="19"/>
        <v>7150</v>
      </c>
      <c r="I436" s="8">
        <f t="shared" si="20"/>
        <v>2200</v>
      </c>
      <c r="J436" s="7" t="s">
        <v>19</v>
      </c>
      <c r="K436" s="7" t="s">
        <v>20</v>
      </c>
      <c r="L436" s="10" t="s">
        <v>21</v>
      </c>
    </row>
    <row r="437" spans="1:12" x14ac:dyDescent="0.3">
      <c r="A437" s="6" t="s">
        <v>485</v>
      </c>
      <c r="B437" s="18">
        <v>45965</v>
      </c>
      <c r="C437" s="18" t="s">
        <v>56</v>
      </c>
      <c r="D437" s="7">
        <v>5</v>
      </c>
      <c r="E437" s="8">
        <v>9800</v>
      </c>
      <c r="F437" s="9">
        <v>0.15</v>
      </c>
      <c r="G437" s="8">
        <f t="shared" si="18"/>
        <v>41650</v>
      </c>
      <c r="H437" s="8">
        <f t="shared" si="19"/>
        <v>31850</v>
      </c>
      <c r="I437" s="8">
        <f t="shared" si="20"/>
        <v>9800</v>
      </c>
      <c r="J437" s="7" t="s">
        <v>19</v>
      </c>
      <c r="K437" s="7" t="s">
        <v>20</v>
      </c>
      <c r="L437" s="10" t="s">
        <v>25</v>
      </c>
    </row>
    <row r="438" spans="1:12" x14ac:dyDescent="0.3">
      <c r="A438" s="6" t="s">
        <v>486</v>
      </c>
      <c r="B438" s="18">
        <v>45874</v>
      </c>
      <c r="C438" s="18" t="s">
        <v>43</v>
      </c>
      <c r="D438" s="7">
        <v>6</v>
      </c>
      <c r="E438" s="8">
        <v>3360</v>
      </c>
      <c r="F438" s="9">
        <v>0</v>
      </c>
      <c r="G438" s="8">
        <f t="shared" si="18"/>
        <v>20160</v>
      </c>
      <c r="H438" s="8">
        <f t="shared" si="19"/>
        <v>13104</v>
      </c>
      <c r="I438" s="8">
        <f t="shared" si="20"/>
        <v>7056</v>
      </c>
      <c r="J438" s="7" t="s">
        <v>14</v>
      </c>
      <c r="K438" s="7" t="s">
        <v>15</v>
      </c>
      <c r="L438" s="10" t="s">
        <v>25</v>
      </c>
    </row>
    <row r="439" spans="1:12" x14ac:dyDescent="0.3">
      <c r="A439" s="6" t="s">
        <v>487</v>
      </c>
      <c r="B439" s="18">
        <v>46176</v>
      </c>
      <c r="C439" s="18" t="s">
        <v>43</v>
      </c>
      <c r="D439" s="7">
        <v>1</v>
      </c>
      <c r="E439" s="8">
        <v>3200</v>
      </c>
      <c r="F439" s="9">
        <v>0.05</v>
      </c>
      <c r="G439" s="8">
        <f t="shared" si="18"/>
        <v>3040</v>
      </c>
      <c r="H439" s="8">
        <f t="shared" si="19"/>
        <v>2080</v>
      </c>
      <c r="I439" s="8">
        <f t="shared" si="20"/>
        <v>960</v>
      </c>
      <c r="J439" s="7" t="s">
        <v>14</v>
      </c>
      <c r="K439" s="7" t="s">
        <v>40</v>
      </c>
      <c r="L439" s="10" t="s">
        <v>21</v>
      </c>
    </row>
    <row r="440" spans="1:12" x14ac:dyDescent="0.3">
      <c r="A440" s="6" t="s">
        <v>488</v>
      </c>
      <c r="B440" s="18">
        <v>45913</v>
      </c>
      <c r="C440" s="18" t="s">
        <v>13</v>
      </c>
      <c r="D440" s="7">
        <v>1</v>
      </c>
      <c r="E440" s="8">
        <v>54600</v>
      </c>
      <c r="F440" s="9">
        <v>0.1</v>
      </c>
      <c r="G440" s="8">
        <f t="shared" si="18"/>
        <v>49140</v>
      </c>
      <c r="H440" s="8">
        <f t="shared" si="19"/>
        <v>35490</v>
      </c>
      <c r="I440" s="8">
        <f t="shared" si="20"/>
        <v>13650</v>
      </c>
      <c r="J440" s="7" t="s">
        <v>14</v>
      </c>
      <c r="K440" s="7" t="s">
        <v>36</v>
      </c>
      <c r="L440" s="10" t="s">
        <v>25</v>
      </c>
    </row>
    <row r="441" spans="1:12" x14ac:dyDescent="0.3">
      <c r="A441" s="6" t="s">
        <v>489</v>
      </c>
      <c r="B441" s="18">
        <v>46133</v>
      </c>
      <c r="C441" s="18" t="s">
        <v>51</v>
      </c>
      <c r="D441" s="7">
        <v>2</v>
      </c>
      <c r="E441" s="8">
        <v>2730</v>
      </c>
      <c r="F441" s="9">
        <v>0</v>
      </c>
      <c r="G441" s="8">
        <f t="shared" si="18"/>
        <v>5460</v>
      </c>
      <c r="H441" s="8">
        <f t="shared" si="19"/>
        <v>3549</v>
      </c>
      <c r="I441" s="8">
        <f t="shared" si="20"/>
        <v>1911</v>
      </c>
      <c r="J441" s="7" t="s">
        <v>14</v>
      </c>
      <c r="K441" s="7" t="s">
        <v>36</v>
      </c>
      <c r="L441" s="10" t="s">
        <v>25</v>
      </c>
    </row>
    <row r="442" spans="1:12" x14ac:dyDescent="0.3">
      <c r="A442" s="6" t="s">
        <v>490</v>
      </c>
      <c r="B442" s="18">
        <v>46114</v>
      </c>
      <c r="C442" s="18" t="s">
        <v>88</v>
      </c>
      <c r="D442" s="7">
        <v>6</v>
      </c>
      <c r="E442" s="8">
        <v>1575</v>
      </c>
      <c r="F442" s="9">
        <v>0.1</v>
      </c>
      <c r="G442" s="8">
        <f t="shared" si="18"/>
        <v>8505</v>
      </c>
      <c r="H442" s="8">
        <f t="shared" si="19"/>
        <v>6142.5</v>
      </c>
      <c r="I442" s="8">
        <f t="shared" si="20"/>
        <v>2362.5</v>
      </c>
      <c r="J442" s="7" t="s">
        <v>14</v>
      </c>
      <c r="K442" s="7" t="s">
        <v>36</v>
      </c>
      <c r="L442" s="10" t="s">
        <v>16</v>
      </c>
    </row>
    <row r="443" spans="1:12" x14ac:dyDescent="0.3">
      <c r="A443" s="6" t="s">
        <v>491</v>
      </c>
      <c r="B443" s="18">
        <v>45750</v>
      </c>
      <c r="C443" s="18" t="s">
        <v>60</v>
      </c>
      <c r="D443" s="7">
        <v>7</v>
      </c>
      <c r="E443" s="8">
        <v>2090</v>
      </c>
      <c r="F443" s="9">
        <v>0</v>
      </c>
      <c r="G443" s="8">
        <f t="shared" si="18"/>
        <v>14630</v>
      </c>
      <c r="H443" s="8">
        <f t="shared" si="19"/>
        <v>9509.5</v>
      </c>
      <c r="I443" s="8">
        <f t="shared" si="20"/>
        <v>5120.5</v>
      </c>
      <c r="J443" s="7" t="s">
        <v>14</v>
      </c>
      <c r="K443" s="7" t="s">
        <v>40</v>
      </c>
      <c r="L443" s="10" t="s">
        <v>21</v>
      </c>
    </row>
    <row r="444" spans="1:12" x14ac:dyDescent="0.3">
      <c r="A444" s="6" t="s">
        <v>492</v>
      </c>
      <c r="B444" s="18">
        <v>45888</v>
      </c>
      <c r="C444" s="18" t="s">
        <v>39</v>
      </c>
      <c r="D444" s="7">
        <v>7</v>
      </c>
      <c r="E444" s="8">
        <v>12500</v>
      </c>
      <c r="F444" s="9">
        <v>0.2</v>
      </c>
      <c r="G444" s="8">
        <f t="shared" si="18"/>
        <v>70000</v>
      </c>
      <c r="H444" s="8">
        <f t="shared" si="19"/>
        <v>56875</v>
      </c>
      <c r="I444" s="8">
        <f t="shared" si="20"/>
        <v>13125</v>
      </c>
      <c r="J444" s="7" t="s">
        <v>19</v>
      </c>
      <c r="K444" s="7" t="s">
        <v>70</v>
      </c>
      <c r="L444" s="10" t="s">
        <v>25</v>
      </c>
    </row>
    <row r="445" spans="1:12" x14ac:dyDescent="0.3">
      <c r="A445" s="6" t="s">
        <v>493</v>
      </c>
      <c r="B445" s="18">
        <v>45793</v>
      </c>
      <c r="C445" s="18" t="s">
        <v>88</v>
      </c>
      <c r="D445" s="7">
        <v>4</v>
      </c>
      <c r="E445" s="8">
        <v>1425</v>
      </c>
      <c r="F445" s="9">
        <v>0.1</v>
      </c>
      <c r="G445" s="8">
        <f t="shared" si="18"/>
        <v>5130</v>
      </c>
      <c r="H445" s="8">
        <f t="shared" si="19"/>
        <v>3705</v>
      </c>
      <c r="I445" s="8">
        <f t="shared" si="20"/>
        <v>1425</v>
      </c>
      <c r="J445" s="7" t="s">
        <v>27</v>
      </c>
      <c r="K445" s="7" t="s">
        <v>31</v>
      </c>
      <c r="L445" s="10" t="s">
        <v>25</v>
      </c>
    </row>
    <row r="446" spans="1:12" x14ac:dyDescent="0.3">
      <c r="A446" s="6" t="s">
        <v>494</v>
      </c>
      <c r="B446" s="18">
        <v>46043</v>
      </c>
      <c r="C446" s="18" t="s">
        <v>661</v>
      </c>
      <c r="D446" s="7">
        <v>5</v>
      </c>
      <c r="E446" s="8">
        <v>735</v>
      </c>
      <c r="F446" s="9">
        <v>0.05</v>
      </c>
      <c r="G446" s="8">
        <f t="shared" si="18"/>
        <v>3491.25</v>
      </c>
      <c r="H446" s="8">
        <f t="shared" si="19"/>
        <v>2388.75</v>
      </c>
      <c r="I446" s="8">
        <f t="shared" si="20"/>
        <v>1102.5</v>
      </c>
      <c r="J446" s="7" t="s">
        <v>23</v>
      </c>
      <c r="K446" s="7" t="s">
        <v>66</v>
      </c>
      <c r="L446" s="10" t="s">
        <v>16</v>
      </c>
    </row>
    <row r="447" spans="1:12" x14ac:dyDescent="0.3">
      <c r="A447" s="6" t="s">
        <v>495</v>
      </c>
      <c r="B447" s="18">
        <v>46191</v>
      </c>
      <c r="C447" s="18" t="s">
        <v>18</v>
      </c>
      <c r="D447" s="7">
        <v>2</v>
      </c>
      <c r="E447" s="8">
        <v>1890</v>
      </c>
      <c r="F447" s="9">
        <v>0</v>
      </c>
      <c r="G447" s="8">
        <f t="shared" si="18"/>
        <v>3780</v>
      </c>
      <c r="H447" s="8">
        <f t="shared" si="19"/>
        <v>2457</v>
      </c>
      <c r="I447" s="8">
        <f t="shared" si="20"/>
        <v>1323</v>
      </c>
      <c r="J447" s="7" t="s">
        <v>27</v>
      </c>
      <c r="K447" s="7" t="s">
        <v>31</v>
      </c>
      <c r="L447" s="10" t="s">
        <v>25</v>
      </c>
    </row>
    <row r="448" spans="1:12" x14ac:dyDescent="0.3">
      <c r="A448" s="6" t="s">
        <v>496</v>
      </c>
      <c r="B448" s="18">
        <v>45768</v>
      </c>
      <c r="C448" s="18" t="s">
        <v>56</v>
      </c>
      <c r="D448" s="7">
        <v>6</v>
      </c>
      <c r="E448" s="8">
        <v>9310</v>
      </c>
      <c r="F448" s="9">
        <v>0.1</v>
      </c>
      <c r="G448" s="8">
        <f t="shared" si="18"/>
        <v>50274</v>
      </c>
      <c r="H448" s="8">
        <f t="shared" si="19"/>
        <v>36309</v>
      </c>
      <c r="I448" s="8">
        <f t="shared" si="20"/>
        <v>13965</v>
      </c>
      <c r="J448" s="7" t="s">
        <v>27</v>
      </c>
      <c r="K448" s="7" t="s">
        <v>31</v>
      </c>
      <c r="L448" s="10" t="s">
        <v>25</v>
      </c>
    </row>
    <row r="449" spans="1:12" x14ac:dyDescent="0.3">
      <c r="A449" s="6" t="s">
        <v>497</v>
      </c>
      <c r="B449" s="18">
        <v>45963</v>
      </c>
      <c r="C449" s="18" t="s">
        <v>39</v>
      </c>
      <c r="D449" s="7">
        <v>4</v>
      </c>
      <c r="E449" s="8">
        <v>12500</v>
      </c>
      <c r="F449" s="9">
        <v>0</v>
      </c>
      <c r="G449" s="8">
        <f t="shared" si="18"/>
        <v>50000</v>
      </c>
      <c r="H449" s="8">
        <f t="shared" si="19"/>
        <v>32500</v>
      </c>
      <c r="I449" s="8">
        <f t="shared" si="20"/>
        <v>17500</v>
      </c>
      <c r="J449" s="7" t="s">
        <v>23</v>
      </c>
      <c r="K449" s="7" t="s">
        <v>66</v>
      </c>
      <c r="L449" s="10" t="s">
        <v>16</v>
      </c>
    </row>
    <row r="450" spans="1:12" x14ac:dyDescent="0.3">
      <c r="A450" s="6" t="s">
        <v>498</v>
      </c>
      <c r="B450" s="18">
        <v>45801</v>
      </c>
      <c r="C450" s="18" t="s">
        <v>13</v>
      </c>
      <c r="D450" s="7">
        <v>5</v>
      </c>
      <c r="E450" s="8">
        <v>54600</v>
      </c>
      <c r="F450" s="9">
        <v>0.1</v>
      </c>
      <c r="G450" s="8">
        <f t="shared" si="18"/>
        <v>245700</v>
      </c>
      <c r="H450" s="8">
        <f t="shared" si="19"/>
        <v>177450</v>
      </c>
      <c r="I450" s="8">
        <f t="shared" si="20"/>
        <v>68250</v>
      </c>
      <c r="J450" s="7" t="s">
        <v>23</v>
      </c>
      <c r="K450" s="7" t="s">
        <v>72</v>
      </c>
      <c r="L450" s="10" t="s">
        <v>25</v>
      </c>
    </row>
    <row r="451" spans="1:12" x14ac:dyDescent="0.3">
      <c r="A451" s="6" t="s">
        <v>499</v>
      </c>
      <c r="B451" s="18">
        <v>45694</v>
      </c>
      <c r="C451" s="18" t="s">
        <v>18</v>
      </c>
      <c r="D451" s="7">
        <v>6</v>
      </c>
      <c r="E451" s="8">
        <v>1800</v>
      </c>
      <c r="F451" s="9">
        <v>0.05</v>
      </c>
      <c r="G451" s="8">
        <f t="shared" ref="G451:G514" si="21">D451*E451*(1-F451)</f>
        <v>10260</v>
      </c>
      <c r="H451" s="8">
        <f t="shared" ref="H451:H514" si="22">D451*E451*65%</f>
        <v>7020</v>
      </c>
      <c r="I451" s="8">
        <f t="shared" ref="I451:I514" si="23">G451-H451</f>
        <v>3240</v>
      </c>
      <c r="J451" s="7" t="s">
        <v>23</v>
      </c>
      <c r="K451" s="7" t="s">
        <v>66</v>
      </c>
      <c r="L451" s="10" t="s">
        <v>16</v>
      </c>
    </row>
    <row r="452" spans="1:12" x14ac:dyDescent="0.3">
      <c r="A452" s="6" t="s">
        <v>500</v>
      </c>
      <c r="B452" s="18">
        <v>45965</v>
      </c>
      <c r="C452" s="18" t="s">
        <v>88</v>
      </c>
      <c r="D452" s="7">
        <v>5</v>
      </c>
      <c r="E452" s="8">
        <v>1500</v>
      </c>
      <c r="F452" s="9">
        <v>0</v>
      </c>
      <c r="G452" s="8">
        <f t="shared" si="21"/>
        <v>7500</v>
      </c>
      <c r="H452" s="8">
        <f t="shared" si="22"/>
        <v>4875</v>
      </c>
      <c r="I452" s="8">
        <f t="shared" si="23"/>
        <v>2625</v>
      </c>
      <c r="J452" s="7" t="s">
        <v>23</v>
      </c>
      <c r="K452" s="7" t="s">
        <v>24</v>
      </c>
      <c r="L452" s="10" t="s">
        <v>16</v>
      </c>
    </row>
    <row r="453" spans="1:12" x14ac:dyDescent="0.3">
      <c r="A453" s="6" t="s">
        <v>501</v>
      </c>
      <c r="B453" s="18">
        <v>45922</v>
      </c>
      <c r="C453" s="18" t="s">
        <v>51</v>
      </c>
      <c r="D453" s="7">
        <v>6</v>
      </c>
      <c r="E453" s="8">
        <v>2600</v>
      </c>
      <c r="F453" s="9">
        <v>0</v>
      </c>
      <c r="G453" s="8">
        <f t="shared" si="21"/>
        <v>15600</v>
      </c>
      <c r="H453" s="8">
        <f t="shared" si="22"/>
        <v>10140</v>
      </c>
      <c r="I453" s="8">
        <f t="shared" si="23"/>
        <v>5460</v>
      </c>
      <c r="J453" s="7" t="s">
        <v>14</v>
      </c>
      <c r="K453" s="7" t="s">
        <v>36</v>
      </c>
      <c r="L453" s="10" t="s">
        <v>21</v>
      </c>
    </row>
    <row r="454" spans="1:12" x14ac:dyDescent="0.3">
      <c r="A454" s="6" t="s">
        <v>502</v>
      </c>
      <c r="B454" s="18">
        <v>45972</v>
      </c>
      <c r="C454" s="18" t="s">
        <v>43</v>
      </c>
      <c r="D454" s="7">
        <v>6</v>
      </c>
      <c r="E454" s="8">
        <v>3200</v>
      </c>
      <c r="F454" s="9">
        <v>0.1</v>
      </c>
      <c r="G454" s="8">
        <f t="shared" si="21"/>
        <v>17280</v>
      </c>
      <c r="H454" s="8">
        <f t="shared" si="22"/>
        <v>12480</v>
      </c>
      <c r="I454" s="8">
        <f t="shared" si="23"/>
        <v>4800</v>
      </c>
      <c r="J454" s="7" t="s">
        <v>27</v>
      </c>
      <c r="K454" s="7" t="s">
        <v>52</v>
      </c>
      <c r="L454" s="10" t="s">
        <v>21</v>
      </c>
    </row>
    <row r="455" spans="1:12" x14ac:dyDescent="0.3">
      <c r="A455" s="6" t="s">
        <v>503</v>
      </c>
      <c r="B455" s="18">
        <v>46139</v>
      </c>
      <c r="C455" s="18" t="s">
        <v>13</v>
      </c>
      <c r="D455" s="7">
        <v>8</v>
      </c>
      <c r="E455" s="8">
        <v>49400</v>
      </c>
      <c r="F455" s="9">
        <v>0.05</v>
      </c>
      <c r="G455" s="8">
        <f t="shared" si="21"/>
        <v>375440</v>
      </c>
      <c r="H455" s="8">
        <f t="shared" si="22"/>
        <v>256880</v>
      </c>
      <c r="I455" s="8">
        <f t="shared" si="23"/>
        <v>118560</v>
      </c>
      <c r="J455" s="7" t="s">
        <v>19</v>
      </c>
      <c r="K455" s="7" t="s">
        <v>79</v>
      </c>
      <c r="L455" s="10" t="s">
        <v>16</v>
      </c>
    </row>
    <row r="456" spans="1:12" x14ac:dyDescent="0.3">
      <c r="A456" s="6" t="s">
        <v>504</v>
      </c>
      <c r="B456" s="18">
        <v>45963</v>
      </c>
      <c r="C456" s="18" t="s">
        <v>43</v>
      </c>
      <c r="D456" s="7">
        <v>3</v>
      </c>
      <c r="E456" s="8">
        <v>3040</v>
      </c>
      <c r="F456" s="9">
        <v>0.05</v>
      </c>
      <c r="G456" s="8">
        <f t="shared" si="21"/>
        <v>8664</v>
      </c>
      <c r="H456" s="8">
        <f t="shared" si="22"/>
        <v>5928</v>
      </c>
      <c r="I456" s="8">
        <f t="shared" si="23"/>
        <v>2736</v>
      </c>
      <c r="J456" s="7" t="s">
        <v>14</v>
      </c>
      <c r="K456" s="7" t="s">
        <v>36</v>
      </c>
      <c r="L456" s="10" t="s">
        <v>25</v>
      </c>
    </row>
    <row r="457" spans="1:12" x14ac:dyDescent="0.3">
      <c r="A457" s="6" t="s">
        <v>505</v>
      </c>
      <c r="B457" s="18">
        <v>46126</v>
      </c>
      <c r="C457" s="18" t="s">
        <v>88</v>
      </c>
      <c r="D457" s="7">
        <v>3</v>
      </c>
      <c r="E457" s="8">
        <v>1500</v>
      </c>
      <c r="F457" s="9">
        <v>0</v>
      </c>
      <c r="G457" s="8">
        <f t="shared" si="21"/>
        <v>4500</v>
      </c>
      <c r="H457" s="8">
        <f t="shared" si="22"/>
        <v>2925</v>
      </c>
      <c r="I457" s="8">
        <f t="shared" si="23"/>
        <v>1575</v>
      </c>
      <c r="J457" s="7" t="s">
        <v>23</v>
      </c>
      <c r="K457" s="7" t="s">
        <v>66</v>
      </c>
      <c r="L457" s="10" t="s">
        <v>16</v>
      </c>
    </row>
    <row r="458" spans="1:12" x14ac:dyDescent="0.3">
      <c r="A458" s="6" t="s">
        <v>506</v>
      </c>
      <c r="B458" s="18">
        <v>45839</v>
      </c>
      <c r="C458" s="18" t="s">
        <v>661</v>
      </c>
      <c r="D458" s="7">
        <v>1</v>
      </c>
      <c r="E458" s="8">
        <v>665</v>
      </c>
      <c r="F458" s="9">
        <v>0.15</v>
      </c>
      <c r="G458" s="8">
        <f t="shared" si="21"/>
        <v>565.25</v>
      </c>
      <c r="H458" s="8">
        <f t="shared" si="22"/>
        <v>432.25</v>
      </c>
      <c r="I458" s="8">
        <f t="shared" si="23"/>
        <v>133</v>
      </c>
      <c r="J458" s="7" t="s">
        <v>27</v>
      </c>
      <c r="K458" s="7" t="s">
        <v>28</v>
      </c>
      <c r="L458" s="10" t="s">
        <v>21</v>
      </c>
    </row>
    <row r="459" spans="1:12" x14ac:dyDescent="0.3">
      <c r="A459" s="6" t="s">
        <v>507</v>
      </c>
      <c r="B459" s="18">
        <v>45820</v>
      </c>
      <c r="C459" s="18" t="s">
        <v>56</v>
      </c>
      <c r="D459" s="7">
        <v>3</v>
      </c>
      <c r="E459" s="8">
        <v>9310</v>
      </c>
      <c r="F459" s="9">
        <v>0.2</v>
      </c>
      <c r="G459" s="8">
        <f t="shared" si="21"/>
        <v>22344</v>
      </c>
      <c r="H459" s="8">
        <f t="shared" si="22"/>
        <v>18154.5</v>
      </c>
      <c r="I459" s="8">
        <f t="shared" si="23"/>
        <v>4189.5</v>
      </c>
      <c r="J459" s="7" t="s">
        <v>23</v>
      </c>
      <c r="K459" s="7" t="s">
        <v>72</v>
      </c>
      <c r="L459" s="10" t="s">
        <v>25</v>
      </c>
    </row>
    <row r="460" spans="1:12" x14ac:dyDescent="0.3">
      <c r="A460" s="6" t="s">
        <v>508</v>
      </c>
      <c r="B460" s="18">
        <v>46097</v>
      </c>
      <c r="C460" s="18" t="s">
        <v>56</v>
      </c>
      <c r="D460" s="7">
        <v>1</v>
      </c>
      <c r="E460" s="8">
        <v>10290</v>
      </c>
      <c r="F460" s="9">
        <v>0</v>
      </c>
      <c r="G460" s="8">
        <f t="shared" si="21"/>
        <v>10290</v>
      </c>
      <c r="H460" s="8">
        <f t="shared" si="22"/>
        <v>6688.5</v>
      </c>
      <c r="I460" s="8">
        <f t="shared" si="23"/>
        <v>3601.5</v>
      </c>
      <c r="J460" s="7" t="s">
        <v>14</v>
      </c>
      <c r="K460" s="7" t="s">
        <v>36</v>
      </c>
      <c r="L460" s="10" t="s">
        <v>21</v>
      </c>
    </row>
    <row r="461" spans="1:12" x14ac:dyDescent="0.3">
      <c r="A461" s="6" t="s">
        <v>509</v>
      </c>
      <c r="B461" s="18">
        <v>45987</v>
      </c>
      <c r="C461" s="18" t="s">
        <v>51</v>
      </c>
      <c r="D461" s="7">
        <v>1</v>
      </c>
      <c r="E461" s="8">
        <v>2600</v>
      </c>
      <c r="F461" s="9">
        <v>0</v>
      </c>
      <c r="G461" s="8">
        <f t="shared" si="21"/>
        <v>2600</v>
      </c>
      <c r="H461" s="8">
        <f t="shared" si="22"/>
        <v>1690</v>
      </c>
      <c r="I461" s="8">
        <f t="shared" si="23"/>
        <v>910</v>
      </c>
      <c r="J461" s="7" t="s">
        <v>14</v>
      </c>
      <c r="K461" s="7" t="s">
        <v>40</v>
      </c>
      <c r="L461" s="10" t="s">
        <v>16</v>
      </c>
    </row>
    <row r="462" spans="1:12" x14ac:dyDescent="0.3">
      <c r="A462" s="6" t="s">
        <v>510</v>
      </c>
      <c r="B462" s="18">
        <v>46010</v>
      </c>
      <c r="C462" s="18" t="s">
        <v>60</v>
      </c>
      <c r="D462" s="7">
        <v>2</v>
      </c>
      <c r="E462" s="8">
        <v>2200</v>
      </c>
      <c r="F462" s="9">
        <v>0.15</v>
      </c>
      <c r="G462" s="8">
        <f t="shared" si="21"/>
        <v>3740</v>
      </c>
      <c r="H462" s="8">
        <f t="shared" si="22"/>
        <v>2860</v>
      </c>
      <c r="I462" s="8">
        <f t="shared" si="23"/>
        <v>880</v>
      </c>
      <c r="J462" s="7" t="s">
        <v>27</v>
      </c>
      <c r="K462" s="7" t="s">
        <v>28</v>
      </c>
      <c r="L462" s="10" t="s">
        <v>21</v>
      </c>
    </row>
    <row r="463" spans="1:12" x14ac:dyDescent="0.3">
      <c r="A463" s="6" t="s">
        <v>511</v>
      </c>
      <c r="B463" s="18">
        <v>45704</v>
      </c>
      <c r="C463" s="18" t="s">
        <v>60</v>
      </c>
      <c r="D463" s="7">
        <v>8</v>
      </c>
      <c r="E463" s="8">
        <v>2200</v>
      </c>
      <c r="F463" s="9">
        <v>0.2</v>
      </c>
      <c r="G463" s="8">
        <f t="shared" si="21"/>
        <v>14080</v>
      </c>
      <c r="H463" s="8">
        <f t="shared" si="22"/>
        <v>11440</v>
      </c>
      <c r="I463" s="8">
        <f t="shared" si="23"/>
        <v>2640</v>
      </c>
      <c r="J463" s="7" t="s">
        <v>27</v>
      </c>
      <c r="K463" s="7" t="s">
        <v>52</v>
      </c>
      <c r="L463" s="10" t="s">
        <v>16</v>
      </c>
    </row>
    <row r="464" spans="1:12" x14ac:dyDescent="0.3">
      <c r="A464" s="6" t="s">
        <v>512</v>
      </c>
      <c r="B464" s="18">
        <v>45795</v>
      </c>
      <c r="C464" s="18" t="s">
        <v>661</v>
      </c>
      <c r="D464" s="7">
        <v>6</v>
      </c>
      <c r="E464" s="8">
        <v>735</v>
      </c>
      <c r="F464" s="9">
        <v>0.05</v>
      </c>
      <c r="G464" s="8">
        <f t="shared" si="21"/>
        <v>4189.5</v>
      </c>
      <c r="H464" s="8">
        <f t="shared" si="22"/>
        <v>2866.5</v>
      </c>
      <c r="I464" s="8">
        <f t="shared" si="23"/>
        <v>1323</v>
      </c>
      <c r="J464" s="7" t="s">
        <v>14</v>
      </c>
      <c r="K464" s="7" t="s">
        <v>47</v>
      </c>
      <c r="L464" s="10" t="s">
        <v>21</v>
      </c>
    </row>
    <row r="465" spans="1:12" x14ac:dyDescent="0.3">
      <c r="A465" s="6" t="s">
        <v>513</v>
      </c>
      <c r="B465" s="18">
        <v>45891</v>
      </c>
      <c r="C465" s="18" t="s">
        <v>39</v>
      </c>
      <c r="D465" s="7">
        <v>4</v>
      </c>
      <c r="E465" s="8">
        <v>12500</v>
      </c>
      <c r="F465" s="9">
        <v>0</v>
      </c>
      <c r="G465" s="8">
        <f t="shared" si="21"/>
        <v>50000</v>
      </c>
      <c r="H465" s="8">
        <f t="shared" si="22"/>
        <v>32500</v>
      </c>
      <c r="I465" s="8">
        <f t="shared" si="23"/>
        <v>17500</v>
      </c>
      <c r="J465" s="7" t="s">
        <v>14</v>
      </c>
      <c r="K465" s="7" t="s">
        <v>15</v>
      </c>
      <c r="L465" s="10" t="s">
        <v>25</v>
      </c>
    </row>
    <row r="466" spans="1:12" x14ac:dyDescent="0.3">
      <c r="A466" s="6" t="s">
        <v>514</v>
      </c>
      <c r="B466" s="18">
        <v>45696</v>
      </c>
      <c r="C466" s="18" t="s">
        <v>43</v>
      </c>
      <c r="D466" s="7">
        <v>1</v>
      </c>
      <c r="E466" s="8">
        <v>3200</v>
      </c>
      <c r="F466" s="9">
        <v>0.2</v>
      </c>
      <c r="G466" s="8">
        <f t="shared" si="21"/>
        <v>2560</v>
      </c>
      <c r="H466" s="8">
        <f t="shared" si="22"/>
        <v>2080</v>
      </c>
      <c r="I466" s="8">
        <f t="shared" si="23"/>
        <v>480</v>
      </c>
      <c r="J466" s="7" t="s">
        <v>19</v>
      </c>
      <c r="K466" s="7" t="s">
        <v>70</v>
      </c>
      <c r="L466" s="10" t="s">
        <v>16</v>
      </c>
    </row>
    <row r="467" spans="1:12" x14ac:dyDescent="0.3">
      <c r="A467" s="6" t="s">
        <v>515</v>
      </c>
      <c r="B467" s="18">
        <v>45678</v>
      </c>
      <c r="C467" s="18" t="s">
        <v>13</v>
      </c>
      <c r="D467" s="7">
        <v>7</v>
      </c>
      <c r="E467" s="8">
        <v>49400</v>
      </c>
      <c r="F467" s="9">
        <v>0.15</v>
      </c>
      <c r="G467" s="8">
        <f t="shared" si="21"/>
        <v>293930</v>
      </c>
      <c r="H467" s="8">
        <f t="shared" si="22"/>
        <v>224770</v>
      </c>
      <c r="I467" s="8">
        <f t="shared" si="23"/>
        <v>69160</v>
      </c>
      <c r="J467" s="7" t="s">
        <v>23</v>
      </c>
      <c r="K467" s="7" t="s">
        <v>61</v>
      </c>
      <c r="L467" s="10" t="s">
        <v>16</v>
      </c>
    </row>
    <row r="468" spans="1:12" x14ac:dyDescent="0.3">
      <c r="A468" s="6" t="s">
        <v>516</v>
      </c>
      <c r="B468" s="18">
        <v>45916</v>
      </c>
      <c r="C468" s="18" t="s">
        <v>56</v>
      </c>
      <c r="D468" s="7">
        <v>4</v>
      </c>
      <c r="E468" s="8">
        <v>9800</v>
      </c>
      <c r="F468" s="9">
        <v>0</v>
      </c>
      <c r="G468" s="8">
        <f t="shared" si="21"/>
        <v>39200</v>
      </c>
      <c r="H468" s="8">
        <f t="shared" si="22"/>
        <v>25480</v>
      </c>
      <c r="I468" s="8">
        <f t="shared" si="23"/>
        <v>13720</v>
      </c>
      <c r="J468" s="7" t="s">
        <v>27</v>
      </c>
      <c r="K468" s="7" t="s">
        <v>52</v>
      </c>
      <c r="L468" s="10" t="s">
        <v>16</v>
      </c>
    </row>
    <row r="469" spans="1:12" x14ac:dyDescent="0.3">
      <c r="A469" s="6" t="s">
        <v>517</v>
      </c>
      <c r="B469" s="18">
        <v>45761</v>
      </c>
      <c r="C469" s="18" t="s">
        <v>51</v>
      </c>
      <c r="D469" s="7">
        <v>3</v>
      </c>
      <c r="E469" s="8">
        <v>2600</v>
      </c>
      <c r="F469" s="9">
        <v>0.15</v>
      </c>
      <c r="G469" s="8">
        <f t="shared" si="21"/>
        <v>6630</v>
      </c>
      <c r="H469" s="8">
        <f t="shared" si="22"/>
        <v>5070</v>
      </c>
      <c r="I469" s="8">
        <f t="shared" si="23"/>
        <v>1560</v>
      </c>
      <c r="J469" s="7" t="s">
        <v>19</v>
      </c>
      <c r="K469" s="7" t="s">
        <v>70</v>
      </c>
      <c r="L469" s="10" t="s">
        <v>25</v>
      </c>
    </row>
    <row r="470" spans="1:12" x14ac:dyDescent="0.3">
      <c r="A470" s="6" t="s">
        <v>518</v>
      </c>
      <c r="B470" s="18">
        <v>45774</v>
      </c>
      <c r="C470" s="18" t="s">
        <v>30</v>
      </c>
      <c r="D470" s="7">
        <v>4</v>
      </c>
      <c r="E470" s="8">
        <v>682.5</v>
      </c>
      <c r="F470" s="9">
        <v>0.2</v>
      </c>
      <c r="G470" s="8">
        <f t="shared" si="21"/>
        <v>2184</v>
      </c>
      <c r="H470" s="8">
        <f t="shared" si="22"/>
        <v>1774.5</v>
      </c>
      <c r="I470" s="8">
        <f t="shared" si="23"/>
        <v>409.5</v>
      </c>
      <c r="J470" s="7" t="s">
        <v>14</v>
      </c>
      <c r="K470" s="7" t="s">
        <v>36</v>
      </c>
      <c r="L470" s="10" t="s">
        <v>16</v>
      </c>
    </row>
    <row r="471" spans="1:12" x14ac:dyDescent="0.3">
      <c r="A471" s="6" t="s">
        <v>519</v>
      </c>
      <c r="B471" s="18">
        <v>45864</v>
      </c>
      <c r="C471" s="18" t="s">
        <v>661</v>
      </c>
      <c r="D471" s="7">
        <v>5</v>
      </c>
      <c r="E471" s="8">
        <v>735</v>
      </c>
      <c r="F471" s="9">
        <v>0.05</v>
      </c>
      <c r="G471" s="8">
        <f t="shared" si="21"/>
        <v>3491.25</v>
      </c>
      <c r="H471" s="8">
        <f t="shared" si="22"/>
        <v>2388.75</v>
      </c>
      <c r="I471" s="8">
        <f t="shared" si="23"/>
        <v>1102.5</v>
      </c>
      <c r="J471" s="7" t="s">
        <v>19</v>
      </c>
      <c r="K471" s="7" t="s">
        <v>79</v>
      </c>
      <c r="L471" s="10" t="s">
        <v>21</v>
      </c>
    </row>
    <row r="472" spans="1:12" x14ac:dyDescent="0.3">
      <c r="A472" s="6" t="s">
        <v>520</v>
      </c>
      <c r="B472" s="18">
        <v>46150</v>
      </c>
      <c r="C472" s="18" t="s">
        <v>661</v>
      </c>
      <c r="D472" s="7">
        <v>1</v>
      </c>
      <c r="E472" s="8">
        <v>700</v>
      </c>
      <c r="F472" s="9">
        <v>0</v>
      </c>
      <c r="G472" s="8">
        <f t="shared" si="21"/>
        <v>700</v>
      </c>
      <c r="H472" s="8">
        <f t="shared" si="22"/>
        <v>455</v>
      </c>
      <c r="I472" s="8">
        <f t="shared" si="23"/>
        <v>245</v>
      </c>
      <c r="J472" s="7" t="s">
        <v>19</v>
      </c>
      <c r="K472" s="7" t="s">
        <v>70</v>
      </c>
      <c r="L472" s="10" t="s">
        <v>16</v>
      </c>
    </row>
    <row r="473" spans="1:12" x14ac:dyDescent="0.3">
      <c r="A473" s="6" t="s">
        <v>521</v>
      </c>
      <c r="B473" s="18">
        <v>46163</v>
      </c>
      <c r="C473" s="18" t="s">
        <v>88</v>
      </c>
      <c r="D473" s="7">
        <v>2</v>
      </c>
      <c r="E473" s="8">
        <v>1425</v>
      </c>
      <c r="F473" s="9">
        <v>0</v>
      </c>
      <c r="G473" s="8">
        <f t="shared" si="21"/>
        <v>2850</v>
      </c>
      <c r="H473" s="8">
        <f t="shared" si="22"/>
        <v>1852.5</v>
      </c>
      <c r="I473" s="8">
        <f t="shared" si="23"/>
        <v>997.5</v>
      </c>
      <c r="J473" s="7" t="s">
        <v>27</v>
      </c>
      <c r="K473" s="7" t="s">
        <v>28</v>
      </c>
      <c r="L473" s="10" t="s">
        <v>25</v>
      </c>
    </row>
    <row r="474" spans="1:12" x14ac:dyDescent="0.3">
      <c r="A474" s="6" t="s">
        <v>522</v>
      </c>
      <c r="B474" s="18">
        <v>45961</v>
      </c>
      <c r="C474" s="18" t="s">
        <v>60</v>
      </c>
      <c r="D474" s="7">
        <v>1</v>
      </c>
      <c r="E474" s="8">
        <v>2310</v>
      </c>
      <c r="F474" s="9">
        <v>0</v>
      </c>
      <c r="G474" s="8">
        <f t="shared" si="21"/>
        <v>2310</v>
      </c>
      <c r="H474" s="8">
        <f t="shared" si="22"/>
        <v>1501.5</v>
      </c>
      <c r="I474" s="8">
        <f t="shared" si="23"/>
        <v>808.5</v>
      </c>
      <c r="J474" s="7" t="s">
        <v>14</v>
      </c>
      <c r="K474" s="7" t="s">
        <v>15</v>
      </c>
      <c r="L474" s="10" t="s">
        <v>25</v>
      </c>
    </row>
    <row r="475" spans="1:12" x14ac:dyDescent="0.3">
      <c r="A475" s="6" t="s">
        <v>523</v>
      </c>
      <c r="B475" s="18">
        <v>46026</v>
      </c>
      <c r="C475" s="18" t="s">
        <v>661</v>
      </c>
      <c r="D475" s="7">
        <v>2</v>
      </c>
      <c r="E475" s="8">
        <v>735</v>
      </c>
      <c r="F475" s="9">
        <v>0</v>
      </c>
      <c r="G475" s="8">
        <f t="shared" si="21"/>
        <v>1470</v>
      </c>
      <c r="H475" s="8">
        <f t="shared" si="22"/>
        <v>955.5</v>
      </c>
      <c r="I475" s="8">
        <f t="shared" si="23"/>
        <v>514.5</v>
      </c>
      <c r="J475" s="7" t="s">
        <v>19</v>
      </c>
      <c r="K475" s="7" t="s">
        <v>70</v>
      </c>
      <c r="L475" s="10" t="s">
        <v>21</v>
      </c>
    </row>
    <row r="476" spans="1:12" x14ac:dyDescent="0.3">
      <c r="A476" s="6" t="s">
        <v>524</v>
      </c>
      <c r="B476" s="18">
        <v>45832</v>
      </c>
      <c r="C476" s="18" t="s">
        <v>661</v>
      </c>
      <c r="D476" s="7">
        <v>8</v>
      </c>
      <c r="E476" s="8">
        <v>700</v>
      </c>
      <c r="F476" s="9">
        <v>0.2</v>
      </c>
      <c r="G476" s="8">
        <f t="shared" si="21"/>
        <v>4480</v>
      </c>
      <c r="H476" s="8">
        <f t="shared" si="22"/>
        <v>3640</v>
      </c>
      <c r="I476" s="8">
        <f t="shared" si="23"/>
        <v>840</v>
      </c>
      <c r="J476" s="7" t="s">
        <v>27</v>
      </c>
      <c r="K476" s="7" t="s">
        <v>49</v>
      </c>
      <c r="L476" s="10" t="s">
        <v>25</v>
      </c>
    </row>
    <row r="477" spans="1:12" x14ac:dyDescent="0.3">
      <c r="A477" s="6" t="s">
        <v>525</v>
      </c>
      <c r="B477" s="18">
        <v>46008</v>
      </c>
      <c r="C477" s="18" t="s">
        <v>88</v>
      </c>
      <c r="D477" s="7">
        <v>7</v>
      </c>
      <c r="E477" s="8">
        <v>1425</v>
      </c>
      <c r="F477" s="9">
        <v>0.15</v>
      </c>
      <c r="G477" s="8">
        <f t="shared" si="21"/>
        <v>8478.75</v>
      </c>
      <c r="H477" s="8">
        <f t="shared" si="22"/>
        <v>6483.75</v>
      </c>
      <c r="I477" s="8">
        <f t="shared" si="23"/>
        <v>1995</v>
      </c>
      <c r="J477" s="7" t="s">
        <v>23</v>
      </c>
      <c r="K477" s="7" t="s">
        <v>66</v>
      </c>
      <c r="L477" s="10" t="s">
        <v>25</v>
      </c>
    </row>
    <row r="478" spans="1:12" x14ac:dyDescent="0.3">
      <c r="A478" s="6" t="s">
        <v>526</v>
      </c>
      <c r="B478" s="18">
        <v>46147</v>
      </c>
      <c r="C478" s="18" t="s">
        <v>43</v>
      </c>
      <c r="D478" s="7">
        <v>2</v>
      </c>
      <c r="E478" s="8">
        <v>3200</v>
      </c>
      <c r="F478" s="9">
        <v>0.05</v>
      </c>
      <c r="G478" s="8">
        <f t="shared" si="21"/>
        <v>6080</v>
      </c>
      <c r="H478" s="8">
        <f t="shared" si="22"/>
        <v>4160</v>
      </c>
      <c r="I478" s="8">
        <f t="shared" si="23"/>
        <v>1920</v>
      </c>
      <c r="J478" s="7" t="s">
        <v>19</v>
      </c>
      <c r="K478" s="7" t="s">
        <v>20</v>
      </c>
      <c r="L478" s="10" t="s">
        <v>21</v>
      </c>
    </row>
    <row r="479" spans="1:12" x14ac:dyDescent="0.3">
      <c r="A479" s="6" t="s">
        <v>527</v>
      </c>
      <c r="B479" s="18">
        <v>46084</v>
      </c>
      <c r="C479" s="18" t="s">
        <v>18</v>
      </c>
      <c r="D479" s="7">
        <v>8</v>
      </c>
      <c r="E479" s="8">
        <v>1890</v>
      </c>
      <c r="F479" s="9">
        <v>0.05</v>
      </c>
      <c r="G479" s="8">
        <f t="shared" si="21"/>
        <v>14364</v>
      </c>
      <c r="H479" s="8">
        <f t="shared" si="22"/>
        <v>9828</v>
      </c>
      <c r="I479" s="8">
        <f t="shared" si="23"/>
        <v>4536</v>
      </c>
      <c r="J479" s="7" t="s">
        <v>23</v>
      </c>
      <c r="K479" s="7" t="s">
        <v>66</v>
      </c>
      <c r="L479" s="10" t="s">
        <v>16</v>
      </c>
    </row>
    <row r="480" spans="1:12" x14ac:dyDescent="0.3">
      <c r="A480" s="6" t="s">
        <v>528</v>
      </c>
      <c r="B480" s="18">
        <v>45687</v>
      </c>
      <c r="C480" s="18" t="s">
        <v>88</v>
      </c>
      <c r="D480" s="7">
        <v>8</v>
      </c>
      <c r="E480" s="8">
        <v>1575</v>
      </c>
      <c r="F480" s="9">
        <v>0</v>
      </c>
      <c r="G480" s="8">
        <f t="shared" si="21"/>
        <v>12600</v>
      </c>
      <c r="H480" s="8">
        <f t="shared" si="22"/>
        <v>8190</v>
      </c>
      <c r="I480" s="8">
        <f t="shared" si="23"/>
        <v>4410</v>
      </c>
      <c r="J480" s="7" t="s">
        <v>23</v>
      </c>
      <c r="K480" s="7" t="s">
        <v>72</v>
      </c>
      <c r="L480" s="10" t="s">
        <v>21</v>
      </c>
    </row>
    <row r="481" spans="1:12" x14ac:dyDescent="0.3">
      <c r="A481" s="6" t="s">
        <v>529</v>
      </c>
      <c r="B481" s="18">
        <v>45722</v>
      </c>
      <c r="C481" s="18" t="s">
        <v>60</v>
      </c>
      <c r="D481" s="7">
        <v>1</v>
      </c>
      <c r="E481" s="8">
        <v>2200</v>
      </c>
      <c r="F481" s="9">
        <v>0.2</v>
      </c>
      <c r="G481" s="8">
        <f t="shared" si="21"/>
        <v>1760</v>
      </c>
      <c r="H481" s="8">
        <f t="shared" si="22"/>
        <v>1430</v>
      </c>
      <c r="I481" s="8">
        <f t="shared" si="23"/>
        <v>330</v>
      </c>
      <c r="J481" s="7" t="s">
        <v>14</v>
      </c>
      <c r="K481" s="7" t="s">
        <v>36</v>
      </c>
      <c r="L481" s="10" t="s">
        <v>16</v>
      </c>
    </row>
    <row r="482" spans="1:12" x14ac:dyDescent="0.3">
      <c r="A482" s="6" t="s">
        <v>530</v>
      </c>
      <c r="B482" s="18">
        <v>46193</v>
      </c>
      <c r="C482" s="18" t="s">
        <v>18</v>
      </c>
      <c r="D482" s="7">
        <v>7</v>
      </c>
      <c r="E482" s="8">
        <v>1710</v>
      </c>
      <c r="F482" s="9">
        <v>0.05</v>
      </c>
      <c r="G482" s="8">
        <f t="shared" si="21"/>
        <v>11371.5</v>
      </c>
      <c r="H482" s="8">
        <f t="shared" si="22"/>
        <v>7780.5</v>
      </c>
      <c r="I482" s="8">
        <f t="shared" si="23"/>
        <v>3591</v>
      </c>
      <c r="J482" s="7" t="s">
        <v>23</v>
      </c>
      <c r="K482" s="7" t="s">
        <v>66</v>
      </c>
      <c r="L482" s="10" t="s">
        <v>310</v>
      </c>
    </row>
    <row r="483" spans="1:12" x14ac:dyDescent="0.3">
      <c r="A483" s="6" t="s">
        <v>531</v>
      </c>
      <c r="B483" s="18">
        <v>46052</v>
      </c>
      <c r="C483" s="18" t="s">
        <v>88</v>
      </c>
      <c r="D483" s="7">
        <v>1</v>
      </c>
      <c r="E483" s="8">
        <v>1425</v>
      </c>
      <c r="F483" s="9">
        <v>0.05</v>
      </c>
      <c r="G483" s="8">
        <f t="shared" si="21"/>
        <v>1353.75</v>
      </c>
      <c r="H483" s="8">
        <f t="shared" si="22"/>
        <v>926.25</v>
      </c>
      <c r="I483" s="8">
        <f t="shared" si="23"/>
        <v>427.5</v>
      </c>
      <c r="J483" s="7" t="s">
        <v>23</v>
      </c>
      <c r="K483" s="7" t="s">
        <v>72</v>
      </c>
      <c r="L483" s="10" t="s">
        <v>21</v>
      </c>
    </row>
    <row r="484" spans="1:12" x14ac:dyDescent="0.3">
      <c r="A484" s="6" t="s">
        <v>532</v>
      </c>
      <c r="B484" s="18">
        <v>45734</v>
      </c>
      <c r="C484" s="18" t="s">
        <v>56</v>
      </c>
      <c r="D484" s="7">
        <v>4</v>
      </c>
      <c r="E484" s="8">
        <v>9800</v>
      </c>
      <c r="F484" s="9">
        <v>0.1</v>
      </c>
      <c r="G484" s="8">
        <f t="shared" si="21"/>
        <v>35280</v>
      </c>
      <c r="H484" s="8">
        <f t="shared" si="22"/>
        <v>25480</v>
      </c>
      <c r="I484" s="8">
        <f t="shared" si="23"/>
        <v>9800</v>
      </c>
      <c r="J484" s="7" t="s">
        <v>27</v>
      </c>
      <c r="K484" s="7" t="s">
        <v>49</v>
      </c>
      <c r="L484" s="10" t="s">
        <v>16</v>
      </c>
    </row>
    <row r="485" spans="1:12" x14ac:dyDescent="0.3">
      <c r="A485" s="6" t="s">
        <v>533</v>
      </c>
      <c r="B485" s="18">
        <v>45886</v>
      </c>
      <c r="C485" s="18" t="s">
        <v>51</v>
      </c>
      <c r="D485" s="7">
        <v>7</v>
      </c>
      <c r="E485" s="8">
        <v>2730</v>
      </c>
      <c r="F485" s="9">
        <v>0.05</v>
      </c>
      <c r="G485" s="8">
        <f t="shared" si="21"/>
        <v>18154.5</v>
      </c>
      <c r="H485" s="8">
        <f t="shared" si="22"/>
        <v>12421.5</v>
      </c>
      <c r="I485" s="8">
        <f t="shared" si="23"/>
        <v>5733</v>
      </c>
      <c r="J485" s="7" t="s">
        <v>19</v>
      </c>
      <c r="K485" s="7" t="s">
        <v>79</v>
      </c>
      <c r="L485" s="10" t="s">
        <v>25</v>
      </c>
    </row>
    <row r="486" spans="1:12" x14ac:dyDescent="0.3">
      <c r="A486" s="6" t="s">
        <v>534</v>
      </c>
      <c r="B486" s="18">
        <v>46116</v>
      </c>
      <c r="C486" s="18" t="s">
        <v>30</v>
      </c>
      <c r="D486" s="7">
        <v>8</v>
      </c>
      <c r="E486" s="8">
        <v>682.5</v>
      </c>
      <c r="F486" s="9">
        <v>0.1</v>
      </c>
      <c r="G486" s="8">
        <f t="shared" si="21"/>
        <v>4914</v>
      </c>
      <c r="H486" s="8">
        <f t="shared" si="22"/>
        <v>3549</v>
      </c>
      <c r="I486" s="8">
        <f t="shared" si="23"/>
        <v>1365</v>
      </c>
      <c r="J486" s="7" t="s">
        <v>19</v>
      </c>
      <c r="K486" s="7" t="s">
        <v>79</v>
      </c>
      <c r="L486" s="10" t="s">
        <v>16</v>
      </c>
    </row>
    <row r="487" spans="1:12" x14ac:dyDescent="0.3">
      <c r="A487" s="6" t="s">
        <v>535</v>
      </c>
      <c r="B487" s="18">
        <v>45676</v>
      </c>
      <c r="C487" s="18" t="s">
        <v>30</v>
      </c>
      <c r="D487" s="7">
        <v>7</v>
      </c>
      <c r="E487" s="8">
        <v>682.5</v>
      </c>
      <c r="F487" s="9">
        <v>0</v>
      </c>
      <c r="G487" s="8">
        <f t="shared" si="21"/>
        <v>4777.5</v>
      </c>
      <c r="H487" s="8">
        <f t="shared" si="22"/>
        <v>3105.375</v>
      </c>
      <c r="I487" s="8">
        <f t="shared" si="23"/>
        <v>1672.125</v>
      </c>
      <c r="J487" s="7" t="s">
        <v>19</v>
      </c>
      <c r="K487" s="7" t="s">
        <v>70</v>
      </c>
      <c r="L487" s="10" t="s">
        <v>16</v>
      </c>
    </row>
    <row r="488" spans="1:12" x14ac:dyDescent="0.3">
      <c r="A488" s="6" t="s">
        <v>536</v>
      </c>
      <c r="B488" s="18">
        <v>45969</v>
      </c>
      <c r="C488" s="18" t="s">
        <v>51</v>
      </c>
      <c r="D488" s="7">
        <v>8</v>
      </c>
      <c r="E488" s="8">
        <v>2600</v>
      </c>
      <c r="F488" s="9">
        <v>0.1</v>
      </c>
      <c r="G488" s="8">
        <f t="shared" si="21"/>
        <v>18720</v>
      </c>
      <c r="H488" s="8">
        <f t="shared" si="22"/>
        <v>13520</v>
      </c>
      <c r="I488" s="8">
        <f t="shared" si="23"/>
        <v>5200</v>
      </c>
      <c r="J488" s="7" t="s">
        <v>27</v>
      </c>
      <c r="K488" s="7" t="s">
        <v>49</v>
      </c>
      <c r="L488" s="10" t="s">
        <v>21</v>
      </c>
    </row>
    <row r="489" spans="1:12" x14ac:dyDescent="0.3">
      <c r="A489" s="6" t="s">
        <v>537</v>
      </c>
      <c r="B489" s="18">
        <v>46123</v>
      </c>
      <c r="C489" s="18" t="s">
        <v>661</v>
      </c>
      <c r="D489" s="7">
        <v>6</v>
      </c>
      <c r="E489" s="8">
        <v>735</v>
      </c>
      <c r="F489" s="9">
        <v>0.15</v>
      </c>
      <c r="G489" s="8">
        <f t="shared" si="21"/>
        <v>3748.5</v>
      </c>
      <c r="H489" s="8">
        <f t="shared" si="22"/>
        <v>2866.5</v>
      </c>
      <c r="I489" s="8">
        <f t="shared" si="23"/>
        <v>882</v>
      </c>
      <c r="J489" s="7" t="s">
        <v>19</v>
      </c>
      <c r="K489" s="7" t="s">
        <v>70</v>
      </c>
      <c r="L489" s="10" t="s">
        <v>16</v>
      </c>
    </row>
    <row r="490" spans="1:12" x14ac:dyDescent="0.3">
      <c r="A490" s="6" t="s">
        <v>538</v>
      </c>
      <c r="B490" s="18">
        <v>45885</v>
      </c>
      <c r="C490" s="18" t="s">
        <v>13</v>
      </c>
      <c r="D490" s="7">
        <v>6</v>
      </c>
      <c r="E490" s="8">
        <v>52000</v>
      </c>
      <c r="F490" s="9">
        <v>0.1</v>
      </c>
      <c r="G490" s="8">
        <f t="shared" si="21"/>
        <v>280800</v>
      </c>
      <c r="H490" s="8">
        <f t="shared" si="22"/>
        <v>202800</v>
      </c>
      <c r="I490" s="8">
        <f t="shared" si="23"/>
        <v>78000</v>
      </c>
      <c r="J490" s="7" t="s">
        <v>27</v>
      </c>
      <c r="K490" s="7" t="s">
        <v>49</v>
      </c>
      <c r="L490" s="10" t="s">
        <v>21</v>
      </c>
    </row>
    <row r="491" spans="1:12" x14ac:dyDescent="0.3">
      <c r="A491" s="6" t="s">
        <v>539</v>
      </c>
      <c r="B491" s="18">
        <v>45826</v>
      </c>
      <c r="C491" s="18" t="s">
        <v>56</v>
      </c>
      <c r="D491" s="7">
        <v>7</v>
      </c>
      <c r="E491" s="8">
        <v>9800</v>
      </c>
      <c r="F491" s="9">
        <v>0</v>
      </c>
      <c r="G491" s="8">
        <f t="shared" si="21"/>
        <v>68600</v>
      </c>
      <c r="H491" s="8">
        <f t="shared" si="22"/>
        <v>44590</v>
      </c>
      <c r="I491" s="8">
        <f t="shared" si="23"/>
        <v>24010</v>
      </c>
      <c r="J491" s="7" t="s">
        <v>27</v>
      </c>
      <c r="K491" s="7" t="s">
        <v>28</v>
      </c>
      <c r="L491" s="10" t="s">
        <v>21</v>
      </c>
    </row>
    <row r="492" spans="1:12" x14ac:dyDescent="0.3">
      <c r="A492" s="6" t="s">
        <v>540</v>
      </c>
      <c r="B492" s="18">
        <v>45781</v>
      </c>
      <c r="C492" s="18" t="s">
        <v>43</v>
      </c>
      <c r="D492" s="7">
        <v>8</v>
      </c>
      <c r="E492" s="8">
        <v>3200</v>
      </c>
      <c r="F492" s="9">
        <v>0.05</v>
      </c>
      <c r="G492" s="8">
        <f t="shared" si="21"/>
        <v>24320</v>
      </c>
      <c r="H492" s="8">
        <f t="shared" si="22"/>
        <v>16640</v>
      </c>
      <c r="I492" s="8">
        <f t="shared" si="23"/>
        <v>7680</v>
      </c>
      <c r="J492" s="7" t="s">
        <v>27</v>
      </c>
      <c r="K492" s="7" t="s">
        <v>49</v>
      </c>
      <c r="L492" s="10" t="s">
        <v>25</v>
      </c>
    </row>
    <row r="493" spans="1:12" x14ac:dyDescent="0.3">
      <c r="A493" s="6" t="s">
        <v>541</v>
      </c>
      <c r="B493" s="18">
        <v>45705</v>
      </c>
      <c r="C493" s="18" t="s">
        <v>18</v>
      </c>
      <c r="D493" s="7">
        <v>8</v>
      </c>
      <c r="E493" s="8">
        <v>1710</v>
      </c>
      <c r="F493" s="9">
        <v>0.15</v>
      </c>
      <c r="G493" s="8">
        <f t="shared" si="21"/>
        <v>11628</v>
      </c>
      <c r="H493" s="8">
        <f t="shared" si="22"/>
        <v>8892</v>
      </c>
      <c r="I493" s="8">
        <f t="shared" si="23"/>
        <v>2736</v>
      </c>
      <c r="J493" s="7" t="s">
        <v>14</v>
      </c>
      <c r="K493" s="7" t="s">
        <v>47</v>
      </c>
      <c r="L493" s="10" t="s">
        <v>21</v>
      </c>
    </row>
    <row r="494" spans="1:12" x14ac:dyDescent="0.3">
      <c r="A494" s="6" t="s">
        <v>542</v>
      </c>
      <c r="B494" s="18">
        <v>46201</v>
      </c>
      <c r="C494" s="18" t="s">
        <v>13</v>
      </c>
      <c r="D494" s="7">
        <v>8</v>
      </c>
      <c r="E494" s="8">
        <v>54600</v>
      </c>
      <c r="F494" s="9">
        <v>0.2</v>
      </c>
      <c r="G494" s="8">
        <f t="shared" si="21"/>
        <v>349440</v>
      </c>
      <c r="H494" s="8">
        <f t="shared" si="22"/>
        <v>283920</v>
      </c>
      <c r="I494" s="8">
        <f t="shared" si="23"/>
        <v>65520</v>
      </c>
      <c r="J494" s="7" t="s">
        <v>14</v>
      </c>
      <c r="K494" s="7" t="s">
        <v>40</v>
      </c>
      <c r="L494" s="10" t="s">
        <v>16</v>
      </c>
    </row>
    <row r="495" spans="1:12" x14ac:dyDescent="0.3">
      <c r="A495" s="6" t="s">
        <v>543</v>
      </c>
      <c r="B495" s="18">
        <v>45789</v>
      </c>
      <c r="C495" s="18" t="s">
        <v>30</v>
      </c>
      <c r="D495" s="7">
        <v>6</v>
      </c>
      <c r="E495" s="8">
        <v>682.5</v>
      </c>
      <c r="F495" s="9">
        <v>0.2</v>
      </c>
      <c r="G495" s="8">
        <f t="shared" si="21"/>
        <v>3276</v>
      </c>
      <c r="H495" s="8">
        <f t="shared" si="22"/>
        <v>2661.75</v>
      </c>
      <c r="I495" s="8">
        <f t="shared" si="23"/>
        <v>614.25</v>
      </c>
      <c r="J495" s="7" t="s">
        <v>23</v>
      </c>
      <c r="K495" s="7" t="s">
        <v>72</v>
      </c>
      <c r="L495" s="10" t="s">
        <v>16</v>
      </c>
    </row>
    <row r="496" spans="1:12" x14ac:dyDescent="0.3">
      <c r="A496" s="6" t="s">
        <v>544</v>
      </c>
      <c r="B496" s="18">
        <v>45912</v>
      </c>
      <c r="C496" s="18" t="s">
        <v>60</v>
      </c>
      <c r="D496" s="7">
        <v>6</v>
      </c>
      <c r="E496" s="8">
        <v>2310</v>
      </c>
      <c r="F496" s="9">
        <v>0.1</v>
      </c>
      <c r="G496" s="8">
        <f t="shared" si="21"/>
        <v>12474</v>
      </c>
      <c r="H496" s="8">
        <f t="shared" si="22"/>
        <v>9009</v>
      </c>
      <c r="I496" s="8">
        <f t="shared" si="23"/>
        <v>3465</v>
      </c>
      <c r="J496" s="7" t="s">
        <v>23</v>
      </c>
      <c r="K496" s="7" t="s">
        <v>24</v>
      </c>
      <c r="L496" s="10" t="s">
        <v>21</v>
      </c>
    </row>
    <row r="497" spans="1:12" x14ac:dyDescent="0.3">
      <c r="A497" s="6" t="s">
        <v>545</v>
      </c>
      <c r="B497" s="18">
        <v>46080</v>
      </c>
      <c r="C497" s="18" t="s">
        <v>18</v>
      </c>
      <c r="D497" s="7">
        <v>6</v>
      </c>
      <c r="E497" s="8">
        <v>1800</v>
      </c>
      <c r="F497" s="9">
        <v>0.2</v>
      </c>
      <c r="G497" s="8">
        <f t="shared" si="21"/>
        <v>8640</v>
      </c>
      <c r="H497" s="8">
        <f t="shared" si="22"/>
        <v>7020</v>
      </c>
      <c r="I497" s="8">
        <f t="shared" si="23"/>
        <v>1620</v>
      </c>
      <c r="J497" s="7" t="s">
        <v>14</v>
      </c>
      <c r="K497" s="7" t="s">
        <v>40</v>
      </c>
      <c r="L497" s="10" t="s">
        <v>21</v>
      </c>
    </row>
    <row r="498" spans="1:12" x14ac:dyDescent="0.3">
      <c r="A498" s="6" t="s">
        <v>546</v>
      </c>
      <c r="B498" s="18">
        <v>45955</v>
      </c>
      <c r="C498" s="18" t="s">
        <v>661</v>
      </c>
      <c r="D498" s="7">
        <v>3</v>
      </c>
      <c r="E498" s="8">
        <v>700</v>
      </c>
      <c r="F498" s="9">
        <v>0.2</v>
      </c>
      <c r="G498" s="8">
        <f t="shared" si="21"/>
        <v>1680</v>
      </c>
      <c r="H498" s="8">
        <f t="shared" si="22"/>
        <v>1365</v>
      </c>
      <c r="I498" s="8">
        <f t="shared" si="23"/>
        <v>315</v>
      </c>
      <c r="J498" s="7" t="s">
        <v>27</v>
      </c>
      <c r="K498" s="7" t="s">
        <v>49</v>
      </c>
      <c r="L498" s="10" t="s">
        <v>25</v>
      </c>
    </row>
    <row r="499" spans="1:12" x14ac:dyDescent="0.3">
      <c r="A499" s="6" t="s">
        <v>547</v>
      </c>
      <c r="B499" s="18">
        <v>46149</v>
      </c>
      <c r="C499" s="18" t="s">
        <v>18</v>
      </c>
      <c r="D499" s="7">
        <v>5</v>
      </c>
      <c r="E499" s="8">
        <v>1890</v>
      </c>
      <c r="F499" s="9">
        <v>0.15</v>
      </c>
      <c r="G499" s="8">
        <f t="shared" si="21"/>
        <v>8032.5</v>
      </c>
      <c r="H499" s="8">
        <f t="shared" si="22"/>
        <v>6142.5</v>
      </c>
      <c r="I499" s="8">
        <f t="shared" si="23"/>
        <v>1890</v>
      </c>
      <c r="J499" s="7" t="s">
        <v>19</v>
      </c>
      <c r="K499" s="7" t="s">
        <v>70</v>
      </c>
      <c r="L499" s="10" t="s">
        <v>21</v>
      </c>
    </row>
    <row r="500" spans="1:12" x14ac:dyDescent="0.3">
      <c r="A500" s="6" t="s">
        <v>548</v>
      </c>
      <c r="B500" s="18">
        <v>46048</v>
      </c>
      <c r="C500" s="18" t="s">
        <v>88</v>
      </c>
      <c r="D500" s="7">
        <v>1</v>
      </c>
      <c r="E500" s="8">
        <v>1425</v>
      </c>
      <c r="F500" s="9">
        <v>0.05</v>
      </c>
      <c r="G500" s="8">
        <f t="shared" si="21"/>
        <v>1353.75</v>
      </c>
      <c r="H500" s="8">
        <f t="shared" si="22"/>
        <v>926.25</v>
      </c>
      <c r="I500" s="8">
        <f t="shared" si="23"/>
        <v>427.5</v>
      </c>
      <c r="J500" s="7" t="s">
        <v>27</v>
      </c>
      <c r="K500" s="7" t="s">
        <v>28</v>
      </c>
      <c r="L500" s="10" t="s">
        <v>25</v>
      </c>
    </row>
    <row r="501" spans="1:12" x14ac:dyDescent="0.3">
      <c r="A501" s="6" t="s">
        <v>549</v>
      </c>
      <c r="B501" s="18">
        <v>45914</v>
      </c>
      <c r="C501" s="18" t="s">
        <v>88</v>
      </c>
      <c r="D501" s="7">
        <v>5</v>
      </c>
      <c r="E501" s="8">
        <v>1425</v>
      </c>
      <c r="F501" s="9">
        <v>0.05</v>
      </c>
      <c r="G501" s="8">
        <f t="shared" si="21"/>
        <v>6768.75</v>
      </c>
      <c r="H501" s="8">
        <f t="shared" si="22"/>
        <v>4631.25</v>
      </c>
      <c r="I501" s="8">
        <f t="shared" si="23"/>
        <v>2137.5</v>
      </c>
      <c r="J501" s="7" t="s">
        <v>19</v>
      </c>
      <c r="K501" s="7" t="s">
        <v>34</v>
      </c>
      <c r="L501" s="10" t="s">
        <v>25</v>
      </c>
    </row>
    <row r="502" spans="1:12" x14ac:dyDescent="0.3">
      <c r="A502" s="6" t="s">
        <v>550</v>
      </c>
      <c r="B502" s="18">
        <v>45762</v>
      </c>
      <c r="C502" s="18" t="s">
        <v>18</v>
      </c>
      <c r="D502" s="7">
        <v>7</v>
      </c>
      <c r="E502" s="8">
        <v>1800</v>
      </c>
      <c r="F502" s="9">
        <v>0.05</v>
      </c>
      <c r="G502" s="8">
        <f t="shared" si="21"/>
        <v>11970</v>
      </c>
      <c r="H502" s="8">
        <f t="shared" si="22"/>
        <v>8190</v>
      </c>
      <c r="I502" s="8">
        <f t="shared" si="23"/>
        <v>3780</v>
      </c>
      <c r="J502" s="7" t="s">
        <v>27</v>
      </c>
      <c r="K502" s="7" t="s">
        <v>49</v>
      </c>
      <c r="L502" s="10" t="s">
        <v>25</v>
      </c>
    </row>
    <row r="503" spans="1:12" x14ac:dyDescent="0.3">
      <c r="A503" s="6" t="s">
        <v>551</v>
      </c>
      <c r="B503" s="18">
        <v>46054</v>
      </c>
      <c r="C503" s="18" t="s">
        <v>43</v>
      </c>
      <c r="D503" s="7">
        <v>1</v>
      </c>
      <c r="E503" s="8">
        <v>3200</v>
      </c>
      <c r="F503" s="9">
        <v>0</v>
      </c>
      <c r="G503" s="8">
        <f t="shared" si="21"/>
        <v>3200</v>
      </c>
      <c r="H503" s="8">
        <f t="shared" si="22"/>
        <v>2080</v>
      </c>
      <c r="I503" s="8">
        <f t="shared" si="23"/>
        <v>1120</v>
      </c>
      <c r="J503" s="7" t="s">
        <v>27</v>
      </c>
      <c r="K503" s="7" t="s">
        <v>28</v>
      </c>
      <c r="L503" s="10" t="s">
        <v>16</v>
      </c>
    </row>
    <row r="504" spans="1:12" x14ac:dyDescent="0.3">
      <c r="A504" s="6" t="s">
        <v>552</v>
      </c>
      <c r="B504" s="18">
        <v>46111</v>
      </c>
      <c r="C504" s="18" t="s">
        <v>39</v>
      </c>
      <c r="D504" s="7">
        <v>4</v>
      </c>
      <c r="E504" s="8">
        <v>12500</v>
      </c>
      <c r="F504" s="9">
        <v>0.05</v>
      </c>
      <c r="G504" s="8">
        <f t="shared" si="21"/>
        <v>47500</v>
      </c>
      <c r="H504" s="8">
        <f t="shared" si="22"/>
        <v>32500</v>
      </c>
      <c r="I504" s="8">
        <f t="shared" si="23"/>
        <v>15000</v>
      </c>
      <c r="J504" s="7" t="s">
        <v>27</v>
      </c>
      <c r="K504" s="7" t="s">
        <v>52</v>
      </c>
      <c r="L504" s="10" t="s">
        <v>21</v>
      </c>
    </row>
    <row r="505" spans="1:12" x14ac:dyDescent="0.3">
      <c r="A505" s="6" t="s">
        <v>553</v>
      </c>
      <c r="B505" s="18">
        <v>45734</v>
      </c>
      <c r="C505" s="18" t="s">
        <v>88</v>
      </c>
      <c r="D505" s="7">
        <v>2</v>
      </c>
      <c r="E505" s="8">
        <v>1500</v>
      </c>
      <c r="F505" s="9">
        <v>0.15</v>
      </c>
      <c r="G505" s="8">
        <f t="shared" si="21"/>
        <v>2550</v>
      </c>
      <c r="H505" s="8">
        <f t="shared" si="22"/>
        <v>1950</v>
      </c>
      <c r="I505" s="8">
        <f t="shared" si="23"/>
        <v>600</v>
      </c>
      <c r="J505" s="7" t="s">
        <v>19</v>
      </c>
      <c r="K505" s="7" t="s">
        <v>79</v>
      </c>
      <c r="L505" s="10" t="s">
        <v>25</v>
      </c>
    </row>
    <row r="506" spans="1:12" x14ac:dyDescent="0.3">
      <c r="A506" s="6" t="s">
        <v>554</v>
      </c>
      <c r="B506" s="18">
        <v>45928</v>
      </c>
      <c r="C506" s="18" t="s">
        <v>88</v>
      </c>
      <c r="D506" s="7">
        <v>5</v>
      </c>
      <c r="E506" s="8">
        <v>1500</v>
      </c>
      <c r="F506" s="9">
        <v>0</v>
      </c>
      <c r="G506" s="8">
        <f t="shared" si="21"/>
        <v>7500</v>
      </c>
      <c r="H506" s="8">
        <f t="shared" si="22"/>
        <v>4875</v>
      </c>
      <c r="I506" s="8">
        <f t="shared" si="23"/>
        <v>2625</v>
      </c>
      <c r="J506" s="7" t="s">
        <v>27</v>
      </c>
      <c r="K506" s="7" t="s">
        <v>52</v>
      </c>
      <c r="L506" s="10" t="s">
        <v>16</v>
      </c>
    </row>
    <row r="507" spans="1:12" x14ac:dyDescent="0.3">
      <c r="A507" s="6" t="s">
        <v>555</v>
      </c>
      <c r="B507" s="18">
        <v>45816</v>
      </c>
      <c r="C507" s="18" t="s">
        <v>13</v>
      </c>
      <c r="D507" s="7">
        <v>6</v>
      </c>
      <c r="E507" s="8">
        <v>52000</v>
      </c>
      <c r="F507" s="9">
        <v>0.2</v>
      </c>
      <c r="G507" s="8">
        <f t="shared" si="21"/>
        <v>249600</v>
      </c>
      <c r="H507" s="8">
        <f t="shared" si="22"/>
        <v>202800</v>
      </c>
      <c r="I507" s="8">
        <f t="shared" si="23"/>
        <v>46800</v>
      </c>
      <c r="J507" s="7" t="s">
        <v>19</v>
      </c>
      <c r="K507" s="7" t="s">
        <v>34</v>
      </c>
      <c r="L507" s="10" t="s">
        <v>25</v>
      </c>
    </row>
    <row r="508" spans="1:12" x14ac:dyDescent="0.3">
      <c r="A508" s="6" t="s">
        <v>556</v>
      </c>
      <c r="B508" s="18">
        <v>46024</v>
      </c>
      <c r="C508" s="18" t="s">
        <v>30</v>
      </c>
      <c r="D508" s="7">
        <v>4</v>
      </c>
      <c r="E508" s="8">
        <v>650</v>
      </c>
      <c r="F508" s="9">
        <v>0.05</v>
      </c>
      <c r="G508" s="8">
        <f t="shared" si="21"/>
        <v>2470</v>
      </c>
      <c r="H508" s="8">
        <f t="shared" si="22"/>
        <v>1690</v>
      </c>
      <c r="I508" s="8">
        <f t="shared" si="23"/>
        <v>780</v>
      </c>
      <c r="J508" s="7" t="s">
        <v>19</v>
      </c>
      <c r="K508" s="7" t="s">
        <v>20</v>
      </c>
      <c r="L508" s="10" t="s">
        <v>25</v>
      </c>
    </row>
    <row r="509" spans="1:12" x14ac:dyDescent="0.3">
      <c r="A509" s="6" t="s">
        <v>557</v>
      </c>
      <c r="B509" s="18">
        <v>46071</v>
      </c>
      <c r="C509" s="18" t="s">
        <v>30</v>
      </c>
      <c r="D509" s="7">
        <v>4</v>
      </c>
      <c r="E509" s="8">
        <v>650</v>
      </c>
      <c r="F509" s="9">
        <v>0.05</v>
      </c>
      <c r="G509" s="8">
        <f t="shared" si="21"/>
        <v>2470</v>
      </c>
      <c r="H509" s="8">
        <f t="shared" si="22"/>
        <v>1690</v>
      </c>
      <c r="I509" s="8">
        <f t="shared" si="23"/>
        <v>780</v>
      </c>
      <c r="J509" s="7" t="s">
        <v>27</v>
      </c>
      <c r="K509" s="7" t="s">
        <v>31</v>
      </c>
      <c r="L509" s="10" t="s">
        <v>25</v>
      </c>
    </row>
    <row r="510" spans="1:12" x14ac:dyDescent="0.3">
      <c r="A510" s="6" t="s">
        <v>558</v>
      </c>
      <c r="B510" s="18">
        <v>45958</v>
      </c>
      <c r="C510" s="18" t="s">
        <v>39</v>
      </c>
      <c r="D510" s="7">
        <v>1</v>
      </c>
      <c r="E510" s="8">
        <v>13125</v>
      </c>
      <c r="F510" s="9">
        <v>0</v>
      </c>
      <c r="G510" s="8">
        <f t="shared" si="21"/>
        <v>13125</v>
      </c>
      <c r="H510" s="8">
        <f t="shared" si="22"/>
        <v>8531.25</v>
      </c>
      <c r="I510" s="8">
        <f t="shared" si="23"/>
        <v>4593.75</v>
      </c>
      <c r="J510" s="7" t="s">
        <v>27</v>
      </c>
      <c r="K510" s="7" t="s">
        <v>52</v>
      </c>
      <c r="L510" s="10" t="s">
        <v>21</v>
      </c>
    </row>
    <row r="511" spans="1:12" x14ac:dyDescent="0.3">
      <c r="A511" s="6" t="s">
        <v>559</v>
      </c>
      <c r="B511" s="18">
        <v>45907</v>
      </c>
      <c r="C511" s="18" t="s">
        <v>13</v>
      </c>
      <c r="D511" s="7">
        <v>7</v>
      </c>
      <c r="E511" s="8">
        <v>52000</v>
      </c>
      <c r="F511" s="9">
        <v>0</v>
      </c>
      <c r="G511" s="8">
        <f t="shared" si="21"/>
        <v>364000</v>
      </c>
      <c r="H511" s="8">
        <f t="shared" si="22"/>
        <v>236600</v>
      </c>
      <c r="I511" s="8">
        <f t="shared" si="23"/>
        <v>127400</v>
      </c>
      <c r="J511" s="7" t="s">
        <v>23</v>
      </c>
      <c r="K511" s="7" t="s">
        <v>66</v>
      </c>
      <c r="L511" s="10" t="s">
        <v>16</v>
      </c>
    </row>
    <row r="512" spans="1:12" x14ac:dyDescent="0.3">
      <c r="A512" s="6" t="s">
        <v>560</v>
      </c>
      <c r="B512" s="18">
        <v>45947</v>
      </c>
      <c r="C512" s="18" t="s">
        <v>13</v>
      </c>
      <c r="D512" s="7">
        <v>8</v>
      </c>
      <c r="E512" s="8">
        <v>52000</v>
      </c>
      <c r="F512" s="9">
        <v>0.15</v>
      </c>
      <c r="G512" s="8">
        <f t="shared" si="21"/>
        <v>353600</v>
      </c>
      <c r="H512" s="8">
        <f t="shared" si="22"/>
        <v>270400</v>
      </c>
      <c r="I512" s="8">
        <f t="shared" si="23"/>
        <v>83200</v>
      </c>
      <c r="J512" s="7" t="s">
        <v>19</v>
      </c>
      <c r="K512" s="7" t="s">
        <v>34</v>
      </c>
      <c r="L512" s="10" t="s">
        <v>16</v>
      </c>
    </row>
    <row r="513" spans="1:12" x14ac:dyDescent="0.3">
      <c r="A513" s="6" t="s">
        <v>561</v>
      </c>
      <c r="B513" s="18">
        <v>45855</v>
      </c>
      <c r="C513" s="18" t="s">
        <v>661</v>
      </c>
      <c r="D513" s="7">
        <v>2</v>
      </c>
      <c r="E513" s="8">
        <v>665</v>
      </c>
      <c r="F513" s="9">
        <v>0.05</v>
      </c>
      <c r="G513" s="8">
        <f t="shared" si="21"/>
        <v>1263.5</v>
      </c>
      <c r="H513" s="8">
        <f t="shared" si="22"/>
        <v>864.5</v>
      </c>
      <c r="I513" s="8">
        <f t="shared" si="23"/>
        <v>399</v>
      </c>
      <c r="J513" s="7" t="s">
        <v>19</v>
      </c>
      <c r="K513" s="7" t="s">
        <v>70</v>
      </c>
      <c r="L513" s="10" t="s">
        <v>21</v>
      </c>
    </row>
    <row r="514" spans="1:12" x14ac:dyDescent="0.3">
      <c r="A514" s="6" t="s">
        <v>562</v>
      </c>
      <c r="B514" s="18">
        <v>45876</v>
      </c>
      <c r="C514" s="18" t="s">
        <v>43</v>
      </c>
      <c r="D514" s="7">
        <v>4</v>
      </c>
      <c r="E514" s="8">
        <v>3040</v>
      </c>
      <c r="F514" s="9">
        <v>0.2</v>
      </c>
      <c r="G514" s="8">
        <f t="shared" si="21"/>
        <v>9728</v>
      </c>
      <c r="H514" s="8">
        <f t="shared" si="22"/>
        <v>7904</v>
      </c>
      <c r="I514" s="8">
        <f t="shared" si="23"/>
        <v>1824</v>
      </c>
      <c r="J514" s="7" t="s">
        <v>23</v>
      </c>
      <c r="K514" s="7" t="s">
        <v>61</v>
      </c>
      <c r="L514" s="10" t="s">
        <v>16</v>
      </c>
    </row>
    <row r="515" spans="1:12" x14ac:dyDescent="0.3">
      <c r="A515" s="6" t="s">
        <v>563</v>
      </c>
      <c r="B515" s="18">
        <v>45815</v>
      </c>
      <c r="C515" s="18" t="s">
        <v>13</v>
      </c>
      <c r="D515" s="7">
        <v>6</v>
      </c>
      <c r="E515" s="8">
        <v>54600</v>
      </c>
      <c r="F515" s="9">
        <v>0</v>
      </c>
      <c r="G515" s="8">
        <f t="shared" ref="G515:G543" si="24">D515*E515*(1-F515)</f>
        <v>327600</v>
      </c>
      <c r="H515" s="8">
        <f t="shared" ref="H515:H543" si="25">D515*E515*65%</f>
        <v>212940</v>
      </c>
      <c r="I515" s="8">
        <f t="shared" ref="I515:I543" si="26">G515-H515</f>
        <v>114660</v>
      </c>
      <c r="J515" s="7" t="s">
        <v>19</v>
      </c>
      <c r="K515" s="7" t="s">
        <v>70</v>
      </c>
      <c r="L515" s="10" t="s">
        <v>21</v>
      </c>
    </row>
    <row r="516" spans="1:12" x14ac:dyDescent="0.3">
      <c r="A516" s="6" t="s">
        <v>564</v>
      </c>
      <c r="B516" s="18">
        <v>45840</v>
      </c>
      <c r="C516" s="18" t="s">
        <v>60</v>
      </c>
      <c r="D516" s="7">
        <v>4</v>
      </c>
      <c r="E516" s="8">
        <v>2090</v>
      </c>
      <c r="F516" s="9">
        <v>0.1</v>
      </c>
      <c r="G516" s="8">
        <f t="shared" si="24"/>
        <v>7524</v>
      </c>
      <c r="H516" s="8">
        <f t="shared" si="25"/>
        <v>5434</v>
      </c>
      <c r="I516" s="8">
        <f t="shared" si="26"/>
        <v>2090</v>
      </c>
      <c r="J516" s="7" t="s">
        <v>23</v>
      </c>
      <c r="K516" s="7" t="s">
        <v>72</v>
      </c>
      <c r="L516" s="10" t="s">
        <v>25</v>
      </c>
    </row>
    <row r="517" spans="1:12" x14ac:dyDescent="0.3">
      <c r="A517" s="6" t="s">
        <v>565</v>
      </c>
      <c r="B517" s="18">
        <v>46072</v>
      </c>
      <c r="C517" s="18" t="s">
        <v>43</v>
      </c>
      <c r="D517" s="7">
        <v>1</v>
      </c>
      <c r="E517" s="8">
        <v>3200</v>
      </c>
      <c r="F517" s="9">
        <v>0.15</v>
      </c>
      <c r="G517" s="8">
        <f t="shared" si="24"/>
        <v>2720</v>
      </c>
      <c r="H517" s="8">
        <f t="shared" si="25"/>
        <v>2080</v>
      </c>
      <c r="I517" s="8">
        <f t="shared" si="26"/>
        <v>640</v>
      </c>
      <c r="J517" s="7" t="s">
        <v>19</v>
      </c>
      <c r="K517" s="7" t="s">
        <v>70</v>
      </c>
      <c r="L517" s="10" t="s">
        <v>16</v>
      </c>
    </row>
    <row r="518" spans="1:12" x14ac:dyDescent="0.3">
      <c r="A518" s="6" t="s">
        <v>566</v>
      </c>
      <c r="B518" s="18">
        <v>45722</v>
      </c>
      <c r="C518" s="18" t="s">
        <v>18</v>
      </c>
      <c r="D518" s="7">
        <v>2</v>
      </c>
      <c r="E518" s="8">
        <v>1710</v>
      </c>
      <c r="F518" s="9">
        <v>0.1</v>
      </c>
      <c r="G518" s="8">
        <f t="shared" si="24"/>
        <v>3078</v>
      </c>
      <c r="H518" s="8">
        <f t="shared" si="25"/>
        <v>2223</v>
      </c>
      <c r="I518" s="8">
        <f t="shared" si="26"/>
        <v>855</v>
      </c>
      <c r="J518" s="7" t="s">
        <v>19</v>
      </c>
      <c r="K518" s="7" t="s">
        <v>34</v>
      </c>
      <c r="L518" s="10" t="s">
        <v>16</v>
      </c>
    </row>
    <row r="519" spans="1:12" x14ac:dyDescent="0.3">
      <c r="A519" s="6" t="s">
        <v>567</v>
      </c>
      <c r="B519" s="18">
        <v>45966</v>
      </c>
      <c r="C519" s="18" t="s">
        <v>18</v>
      </c>
      <c r="D519" s="7">
        <v>5</v>
      </c>
      <c r="E519" s="8">
        <v>1710</v>
      </c>
      <c r="F519" s="9">
        <v>0.15</v>
      </c>
      <c r="G519" s="8">
        <f t="shared" si="24"/>
        <v>7267.5</v>
      </c>
      <c r="H519" s="8">
        <f t="shared" si="25"/>
        <v>5557.5</v>
      </c>
      <c r="I519" s="8">
        <f t="shared" si="26"/>
        <v>1710</v>
      </c>
      <c r="J519" s="7" t="s">
        <v>23</v>
      </c>
      <c r="K519" s="7" t="s">
        <v>72</v>
      </c>
      <c r="L519" s="10" t="s">
        <v>16</v>
      </c>
    </row>
    <row r="520" spans="1:12" x14ac:dyDescent="0.3">
      <c r="A520" s="6" t="s">
        <v>568</v>
      </c>
      <c r="B520" s="18">
        <v>45689</v>
      </c>
      <c r="C520" s="18" t="s">
        <v>56</v>
      </c>
      <c r="D520" s="7">
        <v>4</v>
      </c>
      <c r="E520" s="8">
        <v>9800</v>
      </c>
      <c r="F520" s="9">
        <v>0.05</v>
      </c>
      <c r="G520" s="8">
        <f t="shared" si="24"/>
        <v>37240</v>
      </c>
      <c r="H520" s="8">
        <f t="shared" si="25"/>
        <v>25480</v>
      </c>
      <c r="I520" s="8">
        <f t="shared" si="26"/>
        <v>11760</v>
      </c>
      <c r="J520" s="7" t="s">
        <v>23</v>
      </c>
      <c r="K520" s="7" t="s">
        <v>66</v>
      </c>
      <c r="L520" s="10" t="s">
        <v>16</v>
      </c>
    </row>
    <row r="521" spans="1:12" x14ac:dyDescent="0.3">
      <c r="A521" s="6" t="s">
        <v>569</v>
      </c>
      <c r="B521" s="18">
        <v>45805</v>
      </c>
      <c r="C521" s="18" t="s">
        <v>60</v>
      </c>
      <c r="D521" s="7">
        <v>1</v>
      </c>
      <c r="E521" s="8">
        <v>2200</v>
      </c>
      <c r="F521" s="9">
        <v>0.2</v>
      </c>
      <c r="G521" s="8">
        <f t="shared" si="24"/>
        <v>1760</v>
      </c>
      <c r="H521" s="8">
        <f t="shared" si="25"/>
        <v>1430</v>
      </c>
      <c r="I521" s="8">
        <f t="shared" si="26"/>
        <v>330</v>
      </c>
      <c r="J521" s="7" t="s">
        <v>14</v>
      </c>
      <c r="K521" s="7" t="s">
        <v>15</v>
      </c>
      <c r="L521" s="10" t="s">
        <v>21</v>
      </c>
    </row>
    <row r="522" spans="1:12" x14ac:dyDescent="0.3">
      <c r="A522" s="6" t="s">
        <v>570</v>
      </c>
      <c r="B522" s="18">
        <v>45663</v>
      </c>
      <c r="C522" s="18" t="s">
        <v>18</v>
      </c>
      <c r="D522" s="7">
        <v>2</v>
      </c>
      <c r="E522" s="8">
        <v>1890</v>
      </c>
      <c r="F522" s="9">
        <v>0.1</v>
      </c>
      <c r="G522" s="8">
        <f t="shared" si="24"/>
        <v>3402</v>
      </c>
      <c r="H522" s="8">
        <f t="shared" si="25"/>
        <v>2457</v>
      </c>
      <c r="I522" s="8">
        <f t="shared" si="26"/>
        <v>945</v>
      </c>
      <c r="J522" s="7" t="s">
        <v>14</v>
      </c>
      <c r="K522" s="7" t="s">
        <v>36</v>
      </c>
      <c r="L522" s="10" t="s">
        <v>21</v>
      </c>
    </row>
    <row r="523" spans="1:12" x14ac:dyDescent="0.3">
      <c r="A523" s="6" t="s">
        <v>571</v>
      </c>
      <c r="B523" s="18">
        <v>46080</v>
      </c>
      <c r="C523" s="18" t="s">
        <v>51</v>
      </c>
      <c r="D523" s="7">
        <v>3</v>
      </c>
      <c r="E523" s="8">
        <v>2600</v>
      </c>
      <c r="F523" s="9">
        <v>0.05</v>
      </c>
      <c r="G523" s="8">
        <f t="shared" si="24"/>
        <v>7410</v>
      </c>
      <c r="H523" s="8">
        <f t="shared" si="25"/>
        <v>5070</v>
      </c>
      <c r="I523" s="8">
        <f t="shared" si="26"/>
        <v>2340</v>
      </c>
      <c r="J523" s="7" t="s">
        <v>14</v>
      </c>
      <c r="K523" s="7" t="s">
        <v>36</v>
      </c>
      <c r="L523" s="10" t="s">
        <v>21</v>
      </c>
    </row>
    <row r="524" spans="1:12" x14ac:dyDescent="0.3">
      <c r="A524" s="6" t="s">
        <v>572</v>
      </c>
      <c r="B524" s="18">
        <v>45775</v>
      </c>
      <c r="C524" s="18" t="s">
        <v>88</v>
      </c>
      <c r="D524" s="7">
        <v>8</v>
      </c>
      <c r="E524" s="8">
        <v>1425</v>
      </c>
      <c r="F524" s="9">
        <v>0.2</v>
      </c>
      <c r="G524" s="8">
        <f t="shared" si="24"/>
        <v>9120</v>
      </c>
      <c r="H524" s="8">
        <f t="shared" si="25"/>
        <v>7410</v>
      </c>
      <c r="I524" s="8">
        <f t="shared" si="26"/>
        <v>1710</v>
      </c>
      <c r="J524" s="7" t="s">
        <v>19</v>
      </c>
      <c r="K524" s="7" t="s">
        <v>34</v>
      </c>
      <c r="L524" s="10" t="s">
        <v>16</v>
      </c>
    </row>
    <row r="525" spans="1:12" x14ac:dyDescent="0.3">
      <c r="A525" s="6" t="s">
        <v>573</v>
      </c>
      <c r="B525" s="18">
        <v>45726</v>
      </c>
      <c r="C525" s="18" t="s">
        <v>60</v>
      </c>
      <c r="D525" s="7">
        <v>4</v>
      </c>
      <c r="E525" s="8">
        <v>2090</v>
      </c>
      <c r="F525" s="9">
        <v>0.2</v>
      </c>
      <c r="G525" s="8">
        <f t="shared" si="24"/>
        <v>6688</v>
      </c>
      <c r="H525" s="8">
        <f t="shared" si="25"/>
        <v>5434</v>
      </c>
      <c r="I525" s="8">
        <f t="shared" si="26"/>
        <v>1254</v>
      </c>
      <c r="J525" s="7" t="s">
        <v>23</v>
      </c>
      <c r="K525" s="7" t="s">
        <v>66</v>
      </c>
      <c r="L525" s="10" t="s">
        <v>25</v>
      </c>
    </row>
    <row r="526" spans="1:12" x14ac:dyDescent="0.3">
      <c r="A526" s="6" t="s">
        <v>574</v>
      </c>
      <c r="B526" s="18">
        <v>45789</v>
      </c>
      <c r="C526" s="18" t="s">
        <v>39</v>
      </c>
      <c r="D526" s="7">
        <v>5</v>
      </c>
      <c r="E526" s="8">
        <v>11875</v>
      </c>
      <c r="F526" s="9">
        <v>0.2</v>
      </c>
      <c r="G526" s="8">
        <f t="shared" si="24"/>
        <v>47500</v>
      </c>
      <c r="H526" s="8">
        <f t="shared" si="25"/>
        <v>38593.75</v>
      </c>
      <c r="I526" s="8">
        <f t="shared" si="26"/>
        <v>8906.25</v>
      </c>
      <c r="J526" s="7" t="s">
        <v>19</v>
      </c>
      <c r="K526" s="7" t="s">
        <v>20</v>
      </c>
      <c r="L526" s="10" t="s">
        <v>25</v>
      </c>
    </row>
    <row r="527" spans="1:12" x14ac:dyDescent="0.3">
      <c r="A527" s="6" t="s">
        <v>575</v>
      </c>
      <c r="B527" s="18">
        <v>46155</v>
      </c>
      <c r="C527" s="18" t="s">
        <v>56</v>
      </c>
      <c r="D527" s="7">
        <v>5</v>
      </c>
      <c r="E527" s="8">
        <v>9800</v>
      </c>
      <c r="F527" s="9">
        <v>0.2</v>
      </c>
      <c r="G527" s="8">
        <f t="shared" si="24"/>
        <v>39200</v>
      </c>
      <c r="H527" s="8">
        <f t="shared" si="25"/>
        <v>31850</v>
      </c>
      <c r="I527" s="8">
        <f t="shared" si="26"/>
        <v>7350</v>
      </c>
      <c r="J527" s="7" t="s">
        <v>14</v>
      </c>
      <c r="K527" s="7" t="s">
        <v>36</v>
      </c>
      <c r="L527" s="10" t="s">
        <v>25</v>
      </c>
    </row>
    <row r="528" spans="1:12" x14ac:dyDescent="0.3">
      <c r="A528" s="6" t="s">
        <v>576</v>
      </c>
      <c r="B528" s="18">
        <v>46096</v>
      </c>
      <c r="C528" s="18" t="s">
        <v>88</v>
      </c>
      <c r="D528" s="7">
        <v>6</v>
      </c>
      <c r="E528" s="8">
        <v>1425</v>
      </c>
      <c r="F528" s="9">
        <v>0.05</v>
      </c>
      <c r="G528" s="8">
        <f t="shared" si="24"/>
        <v>8122.5</v>
      </c>
      <c r="H528" s="8">
        <f t="shared" si="25"/>
        <v>5557.5</v>
      </c>
      <c r="I528" s="8">
        <f t="shared" si="26"/>
        <v>2565</v>
      </c>
      <c r="J528" s="7" t="s">
        <v>14</v>
      </c>
      <c r="K528" s="7" t="s">
        <v>47</v>
      </c>
      <c r="L528" s="10" t="s">
        <v>25</v>
      </c>
    </row>
    <row r="529" spans="1:12" x14ac:dyDescent="0.3">
      <c r="A529" s="6" t="s">
        <v>577</v>
      </c>
      <c r="B529" s="18">
        <v>46026</v>
      </c>
      <c r="C529" s="18" t="s">
        <v>88</v>
      </c>
      <c r="D529" s="7">
        <v>8</v>
      </c>
      <c r="E529" s="8">
        <v>1500</v>
      </c>
      <c r="F529" s="9">
        <v>0.15</v>
      </c>
      <c r="G529" s="8">
        <f>D529*E529*(1-F529)</f>
        <v>10200</v>
      </c>
      <c r="H529" s="8">
        <f t="shared" si="25"/>
        <v>7800</v>
      </c>
      <c r="I529" s="8">
        <f t="shared" si="26"/>
        <v>2400</v>
      </c>
      <c r="J529" s="7" t="s">
        <v>23</v>
      </c>
      <c r="K529" s="7" t="s">
        <v>66</v>
      </c>
      <c r="L529" s="10" t="s">
        <v>25</v>
      </c>
    </row>
    <row r="530" spans="1:12" x14ac:dyDescent="0.3">
      <c r="A530" s="6" t="s">
        <v>578</v>
      </c>
      <c r="B530" s="18">
        <v>46156</v>
      </c>
      <c r="C530" s="18" t="s">
        <v>51</v>
      </c>
      <c r="D530" s="7">
        <v>3</v>
      </c>
      <c r="E530" s="8">
        <v>2470</v>
      </c>
      <c r="F530" s="9">
        <v>0.2</v>
      </c>
      <c r="G530" s="8">
        <f t="shared" si="24"/>
        <v>5928</v>
      </c>
      <c r="H530" s="8">
        <f t="shared" si="25"/>
        <v>4816.5</v>
      </c>
      <c r="I530" s="8">
        <f t="shared" si="26"/>
        <v>1111.5</v>
      </c>
      <c r="J530" s="7" t="s">
        <v>19</v>
      </c>
      <c r="K530" s="7" t="s">
        <v>34</v>
      </c>
      <c r="L530" s="10" t="s">
        <v>21</v>
      </c>
    </row>
    <row r="531" spans="1:12" x14ac:dyDescent="0.3">
      <c r="A531" s="6" t="s">
        <v>579</v>
      </c>
      <c r="B531" s="18">
        <v>45859</v>
      </c>
      <c r="C531" s="18" t="s">
        <v>60</v>
      </c>
      <c r="D531" s="7">
        <v>2</v>
      </c>
      <c r="E531" s="8">
        <v>2090</v>
      </c>
      <c r="F531" s="9">
        <v>0</v>
      </c>
      <c r="G531" s="8">
        <f t="shared" si="24"/>
        <v>4180</v>
      </c>
      <c r="H531" s="8">
        <f t="shared" si="25"/>
        <v>2717</v>
      </c>
      <c r="I531" s="8">
        <f t="shared" si="26"/>
        <v>1463</v>
      </c>
      <c r="J531" s="7" t="s">
        <v>19</v>
      </c>
      <c r="K531" s="7" t="s">
        <v>79</v>
      </c>
      <c r="L531" s="10" t="s">
        <v>16</v>
      </c>
    </row>
    <row r="532" spans="1:12" x14ac:dyDescent="0.3">
      <c r="A532" s="6" t="s">
        <v>580</v>
      </c>
      <c r="B532" s="18">
        <v>45875</v>
      </c>
      <c r="C532" s="18" t="s">
        <v>13</v>
      </c>
      <c r="D532" s="7">
        <v>8</v>
      </c>
      <c r="E532" s="8">
        <v>52000</v>
      </c>
      <c r="F532" s="9">
        <v>0.05</v>
      </c>
      <c r="G532" s="8">
        <f>D532*E532*(1-F532)</f>
        <v>395200</v>
      </c>
      <c r="H532" s="8">
        <f t="shared" si="25"/>
        <v>270400</v>
      </c>
      <c r="I532" s="8">
        <f t="shared" si="26"/>
        <v>124800</v>
      </c>
      <c r="J532" s="7" t="s">
        <v>27</v>
      </c>
      <c r="K532" s="7" t="s">
        <v>52</v>
      </c>
      <c r="L532" s="10" t="s">
        <v>21</v>
      </c>
    </row>
    <row r="533" spans="1:12" x14ac:dyDescent="0.3">
      <c r="A533" s="6" t="s">
        <v>581</v>
      </c>
      <c r="B533" s="18">
        <v>45955</v>
      </c>
      <c r="C533" s="18" t="s">
        <v>88</v>
      </c>
      <c r="D533" s="7">
        <v>2</v>
      </c>
      <c r="E533" s="8">
        <v>1575</v>
      </c>
      <c r="F533" s="9">
        <v>0.15</v>
      </c>
      <c r="G533" s="8">
        <f t="shared" si="24"/>
        <v>2677.5</v>
      </c>
      <c r="H533" s="8">
        <f t="shared" si="25"/>
        <v>2047.5</v>
      </c>
      <c r="I533" s="8">
        <f t="shared" si="26"/>
        <v>630</v>
      </c>
      <c r="J533" s="7" t="s">
        <v>27</v>
      </c>
      <c r="K533" s="7" t="s">
        <v>49</v>
      </c>
      <c r="L533" s="10" t="s">
        <v>16</v>
      </c>
    </row>
    <row r="534" spans="1:12" x14ac:dyDescent="0.3">
      <c r="A534" s="6" t="s">
        <v>582</v>
      </c>
      <c r="B534" s="18">
        <v>45902</v>
      </c>
      <c r="C534" s="18" t="s">
        <v>18</v>
      </c>
      <c r="D534" s="7">
        <v>3</v>
      </c>
      <c r="E534" s="8">
        <v>1800</v>
      </c>
      <c r="F534" s="9">
        <v>0.15</v>
      </c>
      <c r="G534" s="8">
        <f t="shared" si="24"/>
        <v>4590</v>
      </c>
      <c r="H534" s="8">
        <f t="shared" si="25"/>
        <v>3510</v>
      </c>
      <c r="I534" s="8">
        <f t="shared" si="26"/>
        <v>1080</v>
      </c>
      <c r="J534" s="7" t="s">
        <v>14</v>
      </c>
      <c r="K534" s="7" t="s">
        <v>40</v>
      </c>
      <c r="L534" s="10" t="s">
        <v>16</v>
      </c>
    </row>
    <row r="535" spans="1:12" x14ac:dyDescent="0.3">
      <c r="A535" s="6" t="s">
        <v>583</v>
      </c>
      <c r="B535" s="18">
        <v>45807</v>
      </c>
      <c r="C535" s="18" t="s">
        <v>56</v>
      </c>
      <c r="D535" s="7">
        <v>1</v>
      </c>
      <c r="E535" s="8">
        <v>9800</v>
      </c>
      <c r="F535" s="9">
        <v>0.05</v>
      </c>
      <c r="G535" s="8">
        <f t="shared" si="24"/>
        <v>9310</v>
      </c>
      <c r="H535" s="8">
        <f t="shared" si="25"/>
        <v>6370</v>
      </c>
      <c r="I535" s="8">
        <f t="shared" si="26"/>
        <v>2940</v>
      </c>
      <c r="J535" s="7" t="s">
        <v>23</v>
      </c>
      <c r="K535" s="7" t="s">
        <v>24</v>
      </c>
      <c r="L535" s="10" t="s">
        <v>21</v>
      </c>
    </row>
    <row r="536" spans="1:12" x14ac:dyDescent="0.3">
      <c r="A536" s="6" t="s">
        <v>584</v>
      </c>
      <c r="B536" s="18">
        <v>45928</v>
      </c>
      <c r="C536" s="18" t="s">
        <v>661</v>
      </c>
      <c r="D536" s="7">
        <v>1</v>
      </c>
      <c r="E536" s="8">
        <v>700</v>
      </c>
      <c r="F536" s="9">
        <v>0.05</v>
      </c>
      <c r="G536" s="8">
        <f t="shared" si="24"/>
        <v>665</v>
      </c>
      <c r="H536" s="8">
        <f t="shared" si="25"/>
        <v>455</v>
      </c>
      <c r="I536" s="8">
        <f t="shared" si="26"/>
        <v>210</v>
      </c>
      <c r="J536" s="7" t="s">
        <v>27</v>
      </c>
      <c r="K536" s="7" t="s">
        <v>52</v>
      </c>
      <c r="L536" s="10" t="s">
        <v>25</v>
      </c>
    </row>
    <row r="537" spans="1:12" x14ac:dyDescent="0.3">
      <c r="A537" s="6" t="s">
        <v>585</v>
      </c>
      <c r="B537" s="18">
        <v>46123</v>
      </c>
      <c r="C537" s="18" t="s">
        <v>13</v>
      </c>
      <c r="D537" s="7">
        <v>6</v>
      </c>
      <c r="E537" s="8">
        <v>49400</v>
      </c>
      <c r="F537" s="9">
        <v>0</v>
      </c>
      <c r="G537" s="8">
        <f t="shared" si="24"/>
        <v>296400</v>
      </c>
      <c r="H537" s="8">
        <f t="shared" si="25"/>
        <v>192660</v>
      </c>
      <c r="I537" s="8">
        <f t="shared" si="26"/>
        <v>103740</v>
      </c>
      <c r="J537" s="7" t="s">
        <v>27</v>
      </c>
      <c r="K537" s="7" t="s">
        <v>31</v>
      </c>
      <c r="L537" s="10" t="s">
        <v>16</v>
      </c>
    </row>
    <row r="538" spans="1:12" x14ac:dyDescent="0.3">
      <c r="A538" s="6" t="s">
        <v>586</v>
      </c>
      <c r="B538" s="18">
        <v>45836</v>
      </c>
      <c r="C538" s="18" t="s">
        <v>43</v>
      </c>
      <c r="D538" s="7">
        <v>6</v>
      </c>
      <c r="E538" s="8">
        <v>3360</v>
      </c>
      <c r="F538" s="9">
        <v>0.2</v>
      </c>
      <c r="G538" s="8">
        <f t="shared" si="24"/>
        <v>16128</v>
      </c>
      <c r="H538" s="8">
        <f t="shared" si="25"/>
        <v>13104</v>
      </c>
      <c r="I538" s="8">
        <f t="shared" si="26"/>
        <v>3024</v>
      </c>
      <c r="J538" s="7" t="s">
        <v>19</v>
      </c>
      <c r="K538" s="7" t="s">
        <v>34</v>
      </c>
      <c r="L538" s="10" t="s">
        <v>25</v>
      </c>
    </row>
    <row r="539" spans="1:12" x14ac:dyDescent="0.3">
      <c r="A539" s="6" t="s">
        <v>587</v>
      </c>
      <c r="B539" s="18">
        <v>45886</v>
      </c>
      <c r="C539" s="18" t="s">
        <v>51</v>
      </c>
      <c r="D539" s="7">
        <v>6</v>
      </c>
      <c r="E539" s="8">
        <v>2730</v>
      </c>
      <c r="F539" s="9">
        <v>0.1</v>
      </c>
      <c r="G539" s="8">
        <f t="shared" si="24"/>
        <v>14742</v>
      </c>
      <c r="H539" s="8">
        <f t="shared" si="25"/>
        <v>10647</v>
      </c>
      <c r="I539" s="8">
        <f t="shared" si="26"/>
        <v>4095</v>
      </c>
      <c r="J539" s="7" t="s">
        <v>23</v>
      </c>
      <c r="K539" s="7" t="s">
        <v>72</v>
      </c>
      <c r="L539" s="10" t="s">
        <v>16</v>
      </c>
    </row>
    <row r="540" spans="1:12" x14ac:dyDescent="0.3">
      <c r="A540" s="6" t="s">
        <v>588</v>
      </c>
      <c r="B540" s="18">
        <v>45664</v>
      </c>
      <c r="C540" s="18" t="s">
        <v>51</v>
      </c>
      <c r="D540" s="7">
        <v>8</v>
      </c>
      <c r="E540" s="8">
        <v>2600</v>
      </c>
      <c r="F540" s="9">
        <v>0.05</v>
      </c>
      <c r="G540" s="8">
        <f t="shared" si="24"/>
        <v>19760</v>
      </c>
      <c r="H540" s="8">
        <f t="shared" si="25"/>
        <v>13520</v>
      </c>
      <c r="I540" s="8">
        <f t="shared" si="26"/>
        <v>6240</v>
      </c>
      <c r="J540" s="7" t="s">
        <v>14</v>
      </c>
      <c r="K540" s="7" t="s">
        <v>15</v>
      </c>
      <c r="L540" s="10" t="s">
        <v>16</v>
      </c>
    </row>
    <row r="541" spans="1:12" x14ac:dyDescent="0.3">
      <c r="A541" s="6" t="s">
        <v>589</v>
      </c>
      <c r="B541" s="18">
        <v>45945</v>
      </c>
      <c r="C541" s="18" t="s">
        <v>39</v>
      </c>
      <c r="D541" s="7">
        <v>3</v>
      </c>
      <c r="E541" s="8">
        <v>12500</v>
      </c>
      <c r="F541" s="9">
        <v>0.05</v>
      </c>
      <c r="G541" s="8">
        <f t="shared" si="24"/>
        <v>35625</v>
      </c>
      <c r="H541" s="8">
        <f t="shared" si="25"/>
        <v>24375</v>
      </c>
      <c r="I541" s="8">
        <f t="shared" si="26"/>
        <v>11250</v>
      </c>
      <c r="J541" s="7" t="s">
        <v>27</v>
      </c>
      <c r="K541" s="7" t="s">
        <v>49</v>
      </c>
      <c r="L541" s="10" t="s">
        <v>16</v>
      </c>
    </row>
    <row r="542" spans="1:12" x14ac:dyDescent="0.3">
      <c r="A542" s="6" t="s">
        <v>590</v>
      </c>
      <c r="B542" s="18">
        <v>45893</v>
      </c>
      <c r="C542" s="18" t="s">
        <v>43</v>
      </c>
      <c r="D542" s="7">
        <v>2</v>
      </c>
      <c r="E542" s="8">
        <v>3200</v>
      </c>
      <c r="F542" s="9">
        <v>0.15</v>
      </c>
      <c r="G542" s="8">
        <f t="shared" si="24"/>
        <v>5440</v>
      </c>
      <c r="H542" s="8">
        <f t="shared" si="25"/>
        <v>4160</v>
      </c>
      <c r="I542" s="8">
        <f t="shared" si="26"/>
        <v>1280</v>
      </c>
      <c r="J542" s="7" t="s">
        <v>23</v>
      </c>
      <c r="K542" s="7" t="s">
        <v>72</v>
      </c>
      <c r="L542" s="10" t="s">
        <v>21</v>
      </c>
    </row>
    <row r="543" spans="1:12" ht="15" thickBot="1" x14ac:dyDescent="0.35">
      <c r="A543" s="11" t="s">
        <v>591</v>
      </c>
      <c r="B543" s="19">
        <v>45823</v>
      </c>
      <c r="C543" s="18" t="s">
        <v>43</v>
      </c>
      <c r="D543" s="12">
        <v>4</v>
      </c>
      <c r="E543" s="13">
        <v>3040</v>
      </c>
      <c r="F543" s="14">
        <v>0</v>
      </c>
      <c r="G543" s="13">
        <f t="shared" si="24"/>
        <v>12160</v>
      </c>
      <c r="H543" s="13">
        <f t="shared" si="25"/>
        <v>7904</v>
      </c>
      <c r="I543" s="13">
        <f t="shared" si="26"/>
        <v>4256</v>
      </c>
      <c r="J543" s="12" t="s">
        <v>14</v>
      </c>
      <c r="K543" s="12" t="s">
        <v>40</v>
      </c>
      <c r="L543" s="15" t="s">
        <v>21</v>
      </c>
    </row>
  </sheetData>
  <autoFilter ref="A1:L543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22" customWidth="1"/>
    <col min="2" max="2" width="58" customWidth="1"/>
    <col min="3" max="3" width="62" customWidth="1"/>
  </cols>
  <sheetData>
    <row r="1" spans="1:3" x14ac:dyDescent="0.3">
      <c r="A1" s="31" t="s">
        <v>592</v>
      </c>
      <c r="B1" s="31" t="s">
        <v>593</v>
      </c>
      <c r="C1" s="31" t="s">
        <v>594</v>
      </c>
    </row>
    <row r="2" spans="1:3" ht="31.95" customHeight="1" x14ac:dyDescent="0.3">
      <c r="A2" s="32" t="s">
        <v>0</v>
      </c>
      <c r="B2" s="32" t="s">
        <v>595</v>
      </c>
      <c r="C2" s="32" t="s">
        <v>12</v>
      </c>
    </row>
    <row r="3" spans="1:3" ht="31.95" customHeight="1" x14ac:dyDescent="0.3">
      <c r="A3" s="32" t="s">
        <v>1</v>
      </c>
      <c r="B3" s="32" t="s">
        <v>596</v>
      </c>
      <c r="C3" s="32" t="s">
        <v>597</v>
      </c>
    </row>
    <row r="4" spans="1:3" ht="31.95" customHeight="1" x14ac:dyDescent="0.3">
      <c r="A4" s="32" t="s">
        <v>2</v>
      </c>
      <c r="B4" s="32" t="s">
        <v>598</v>
      </c>
      <c r="C4" s="32" t="s">
        <v>599</v>
      </c>
    </row>
    <row r="5" spans="1:3" ht="31.95" customHeight="1" x14ac:dyDescent="0.3">
      <c r="A5" s="32" t="s">
        <v>3</v>
      </c>
      <c r="B5" s="32" t="s">
        <v>600</v>
      </c>
      <c r="C5" s="32" t="s">
        <v>601</v>
      </c>
    </row>
    <row r="6" spans="1:3" ht="31.95" customHeight="1" x14ac:dyDescent="0.3">
      <c r="A6" s="32" t="s">
        <v>4</v>
      </c>
      <c r="B6" s="32" t="s">
        <v>602</v>
      </c>
      <c r="C6" s="32" t="s">
        <v>603</v>
      </c>
    </row>
    <row r="7" spans="1:3" ht="31.95" customHeight="1" x14ac:dyDescent="0.3">
      <c r="A7" s="32" t="s">
        <v>5</v>
      </c>
      <c r="B7" s="32" t="s">
        <v>604</v>
      </c>
      <c r="C7" s="32" t="s">
        <v>605</v>
      </c>
    </row>
    <row r="8" spans="1:3" ht="31.95" customHeight="1" x14ac:dyDescent="0.3">
      <c r="A8" s="32" t="s">
        <v>6</v>
      </c>
      <c r="B8" s="32" t="s">
        <v>606</v>
      </c>
      <c r="C8" s="32" t="s">
        <v>607</v>
      </c>
    </row>
    <row r="9" spans="1:3" ht="31.95" customHeight="1" x14ac:dyDescent="0.3">
      <c r="A9" s="32" t="s">
        <v>7</v>
      </c>
      <c r="B9" s="32" t="s">
        <v>608</v>
      </c>
      <c r="C9" s="32" t="s">
        <v>609</v>
      </c>
    </row>
    <row r="10" spans="1:3" ht="31.95" customHeight="1" x14ac:dyDescent="0.3">
      <c r="A10" s="32" t="s">
        <v>8</v>
      </c>
      <c r="B10" s="32" t="s">
        <v>610</v>
      </c>
      <c r="C10" s="32" t="s">
        <v>611</v>
      </c>
    </row>
    <row r="11" spans="1:3" ht="31.95" customHeight="1" x14ac:dyDescent="0.3">
      <c r="A11" s="32" t="s">
        <v>9</v>
      </c>
      <c r="B11" s="32" t="s">
        <v>612</v>
      </c>
      <c r="C11" s="32" t="s">
        <v>613</v>
      </c>
    </row>
    <row r="12" spans="1:3" ht="31.95" customHeight="1" x14ac:dyDescent="0.3">
      <c r="A12" s="32" t="s">
        <v>10</v>
      </c>
      <c r="B12" s="32" t="s">
        <v>614</v>
      </c>
      <c r="C12" s="32" t="s">
        <v>615</v>
      </c>
    </row>
    <row r="13" spans="1:3" ht="31.95" customHeight="1" x14ac:dyDescent="0.3">
      <c r="A13" s="32" t="s">
        <v>11</v>
      </c>
      <c r="B13" s="32" t="s">
        <v>616</v>
      </c>
      <c r="C13" s="32" t="s">
        <v>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1" topLeftCell="A2" activePane="bottomLeft" state="frozen"/>
      <selection pane="bottomLeft" activeCell="B1" sqref="A1:B1"/>
    </sheetView>
  </sheetViews>
  <sheetFormatPr defaultRowHeight="14.4" x14ac:dyDescent="0.3"/>
  <cols>
    <col min="1" max="1" width="28" customWidth="1"/>
    <col min="2" max="2" width="65" customWidth="1"/>
    <col min="3" max="3" width="80" customWidth="1"/>
  </cols>
  <sheetData>
    <row r="1" spans="1:3" x14ac:dyDescent="0.3">
      <c r="A1" s="33" t="s">
        <v>618</v>
      </c>
      <c r="B1" s="33" t="s">
        <v>619</v>
      </c>
      <c r="C1" s="33" t="s">
        <v>620</v>
      </c>
    </row>
    <row r="2" spans="1:3" ht="34.049999999999997" customHeight="1" x14ac:dyDescent="0.3">
      <c r="A2" s="32" t="s">
        <v>621</v>
      </c>
      <c r="B2" s="32" t="s">
        <v>622</v>
      </c>
      <c r="C2" s="32" t="s">
        <v>623</v>
      </c>
    </row>
    <row r="3" spans="1:3" ht="34.049999999999997" customHeight="1" x14ac:dyDescent="0.3">
      <c r="A3" s="32" t="s">
        <v>624</v>
      </c>
      <c r="B3" s="32" t="s">
        <v>625</v>
      </c>
      <c r="C3" s="32" t="s">
        <v>626</v>
      </c>
    </row>
    <row r="4" spans="1:3" ht="34.049999999999997" customHeight="1" x14ac:dyDescent="0.3">
      <c r="A4" s="32" t="s">
        <v>627</v>
      </c>
      <c r="B4" s="32" t="s">
        <v>628</v>
      </c>
      <c r="C4" s="32" t="s">
        <v>629</v>
      </c>
    </row>
    <row r="5" spans="1:3" ht="34.049999999999997" customHeight="1" x14ac:dyDescent="0.3">
      <c r="A5" s="32" t="s">
        <v>630</v>
      </c>
      <c r="B5" s="32" t="s">
        <v>631</v>
      </c>
      <c r="C5" s="32" t="s">
        <v>632</v>
      </c>
    </row>
    <row r="6" spans="1:3" ht="34.049999999999997" customHeight="1" x14ac:dyDescent="0.3">
      <c r="A6" s="32" t="s">
        <v>633</v>
      </c>
      <c r="B6" s="32" t="s">
        <v>631</v>
      </c>
      <c r="C6" s="32" t="s">
        <v>634</v>
      </c>
    </row>
    <row r="7" spans="1:3" ht="34.049999999999997" customHeight="1" x14ac:dyDescent="0.3">
      <c r="A7" s="32" t="s">
        <v>635</v>
      </c>
      <c r="B7" s="32" t="s">
        <v>636</v>
      </c>
      <c r="C7" s="32" t="s">
        <v>637</v>
      </c>
    </row>
    <row r="8" spans="1:3" ht="34.049999999999997" customHeight="1" x14ac:dyDescent="0.3">
      <c r="A8" s="32" t="s">
        <v>638</v>
      </c>
      <c r="B8" s="32" t="s">
        <v>639</v>
      </c>
      <c r="C8" s="32" t="s">
        <v>640</v>
      </c>
    </row>
    <row r="9" spans="1:3" ht="34.049999999999997" customHeight="1" x14ac:dyDescent="0.3">
      <c r="A9" s="32" t="s">
        <v>641</v>
      </c>
      <c r="B9" s="32" t="s">
        <v>642</v>
      </c>
      <c r="C9" s="32" t="s">
        <v>643</v>
      </c>
    </row>
    <row r="10" spans="1:3" ht="34.049999999999997" customHeight="1" x14ac:dyDescent="0.3">
      <c r="A10" s="32" t="s">
        <v>644</v>
      </c>
      <c r="B10" s="32" t="s">
        <v>636</v>
      </c>
      <c r="C10" s="32" t="s">
        <v>645</v>
      </c>
    </row>
    <row r="11" spans="1:3" ht="34.049999999999997" customHeight="1" x14ac:dyDescent="0.3">
      <c r="A11" s="32" t="s">
        <v>646</v>
      </c>
      <c r="B11" s="32" t="s">
        <v>647</v>
      </c>
      <c r="C11" s="32" t="s">
        <v>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95C6-DEDC-4660-B731-76B5916EB2A5}">
  <dimension ref="A1:B10"/>
  <sheetViews>
    <sheetView workbookViewId="0">
      <selection activeCell="B15" sqref="B15"/>
    </sheetView>
  </sheetViews>
  <sheetFormatPr defaultRowHeight="14.4" x14ac:dyDescent="0.3"/>
  <cols>
    <col min="1" max="1" width="22.5546875" customWidth="1"/>
    <col min="2" max="2" width="20.21875" customWidth="1"/>
  </cols>
  <sheetData>
    <row r="1" spans="1:2" x14ac:dyDescent="0.3">
      <c r="A1" s="33" t="s">
        <v>656</v>
      </c>
      <c r="B1" s="33" t="s">
        <v>657</v>
      </c>
    </row>
    <row r="2" spans="1:2" x14ac:dyDescent="0.3">
      <c r="A2" s="25" t="s">
        <v>649</v>
      </c>
      <c r="B2" s="29">
        <f>SUM(Cleaned_Data!G2:G543)</f>
        <v>17934579.875</v>
      </c>
    </row>
    <row r="3" spans="1:2" x14ac:dyDescent="0.3">
      <c r="A3" s="25" t="s">
        <v>650</v>
      </c>
      <c r="B3" s="30">
        <f>SUM(Cleaned_Data!I2:I543)</f>
        <v>5051802.5</v>
      </c>
    </row>
    <row r="4" spans="1:2" x14ac:dyDescent="0.3">
      <c r="A4" s="25" t="s">
        <v>681</v>
      </c>
      <c r="B4" s="30">
        <f>SUM(Cleaned_Data!H2:H543)</f>
        <v>12882777.375</v>
      </c>
    </row>
    <row r="5" spans="1:2" x14ac:dyDescent="0.3">
      <c r="A5" s="25" t="s">
        <v>651</v>
      </c>
      <c r="B5" s="25">
        <f>SUM(Cleaned_Data!D2:D543)</f>
        <v>2411</v>
      </c>
    </row>
    <row r="6" spans="1:2" x14ac:dyDescent="0.3">
      <c r="A6" s="25" t="s">
        <v>652</v>
      </c>
      <c r="B6" s="30">
        <f>AVERAGE(Cleaned_Data!G2:G543)</f>
        <v>33089.630765682654</v>
      </c>
    </row>
    <row r="7" spans="1:2" x14ac:dyDescent="0.3">
      <c r="A7" s="25" t="s">
        <v>654</v>
      </c>
      <c r="B7" s="30">
        <f>MAX(Cleaned_Data!G2:G543)</f>
        <v>395200</v>
      </c>
    </row>
    <row r="8" spans="1:2" x14ac:dyDescent="0.3">
      <c r="A8" s="25" t="s">
        <v>655</v>
      </c>
      <c r="B8" s="30">
        <f>MIN(Cleaned_Data!G2:G543)</f>
        <v>494</v>
      </c>
    </row>
    <row r="9" spans="1:2" x14ac:dyDescent="0.3">
      <c r="A9" s="25" t="s">
        <v>680</v>
      </c>
      <c r="B9" s="30">
        <f>SUM(Cleaned_Data!G2:G543)/COUNTA(Cleaned_Data!A2:A543)</f>
        <v>33089.630765682654</v>
      </c>
    </row>
    <row r="10" spans="1:2" x14ac:dyDescent="0.3">
      <c r="A10" s="25" t="s">
        <v>653</v>
      </c>
      <c r="B10" s="25">
        <f>COUNTA(Cleaned_Data!A2:A543)</f>
        <v>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AA44-BAF4-4A26-A612-54CFA536FFF2}">
  <dimension ref="A2:U25"/>
  <sheetViews>
    <sheetView tabSelected="1" topLeftCell="A6" zoomScale="74" workbookViewId="0">
      <selection activeCell="J22" sqref="J22"/>
    </sheetView>
  </sheetViews>
  <sheetFormatPr defaultRowHeight="14.4" x14ac:dyDescent="0.3"/>
  <cols>
    <col min="1" max="1" width="5.77734375" customWidth="1"/>
    <col min="3" max="3" width="14.21875" bestFit="1" customWidth="1"/>
    <col min="4" max="4" width="17.21875" customWidth="1"/>
    <col min="5" max="5" width="15.88671875" customWidth="1"/>
    <col min="6" max="6" width="12.109375" customWidth="1"/>
    <col min="8" max="8" width="11.5546875" bestFit="1" customWidth="1"/>
    <col min="9" max="9" width="23.44140625" customWidth="1"/>
    <col min="10" max="10" width="14" customWidth="1"/>
    <col min="12" max="12" width="9.5546875" customWidth="1"/>
    <col min="13" max="13" width="13.21875" bestFit="1" customWidth="1"/>
    <col min="14" max="14" width="21.44140625" customWidth="1"/>
    <col min="15" max="15" width="12.88671875" customWidth="1"/>
    <col min="18" max="18" width="13.21875" bestFit="1" customWidth="1"/>
    <col min="19" max="19" width="13.44140625" bestFit="1" customWidth="1"/>
  </cols>
  <sheetData>
    <row r="2" spans="1:21" ht="28.2" x14ac:dyDescent="0.55000000000000004">
      <c r="A2" s="21" t="s">
        <v>674</v>
      </c>
      <c r="B2" s="22"/>
      <c r="C2" s="22"/>
      <c r="D2" s="22"/>
      <c r="E2" s="22"/>
      <c r="F2" s="23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x14ac:dyDescent="0.3">
      <c r="C4" s="24" t="s">
        <v>675</v>
      </c>
      <c r="D4" s="25" t="s">
        <v>676</v>
      </c>
      <c r="H4" s="24" t="s">
        <v>677</v>
      </c>
      <c r="I4" s="25" t="s">
        <v>678</v>
      </c>
      <c r="M4" s="26" t="s">
        <v>9</v>
      </c>
      <c r="N4" s="7" t="s">
        <v>649</v>
      </c>
      <c r="R4" s="24" t="s">
        <v>9</v>
      </c>
      <c r="S4" s="25" t="s">
        <v>679</v>
      </c>
    </row>
    <row r="5" spans="1:21" x14ac:dyDescent="0.3">
      <c r="C5" s="25" t="s">
        <v>16</v>
      </c>
      <c r="D5" s="25">
        <v>187</v>
      </c>
      <c r="H5" s="25" t="s">
        <v>659</v>
      </c>
      <c r="I5" s="28">
        <v>11608319.875</v>
      </c>
      <c r="J5" s="1"/>
      <c r="M5" s="7" t="s">
        <v>23</v>
      </c>
      <c r="N5" s="27">
        <v>4659659.5</v>
      </c>
      <c r="R5" s="25" t="s">
        <v>23</v>
      </c>
      <c r="S5" s="25">
        <v>133</v>
      </c>
    </row>
    <row r="6" spans="1:21" x14ac:dyDescent="0.3">
      <c r="C6" s="25" t="s">
        <v>25</v>
      </c>
      <c r="D6" s="25">
        <v>169</v>
      </c>
      <c r="H6" s="25" t="s">
        <v>662</v>
      </c>
      <c r="I6" s="28">
        <v>666353</v>
      </c>
      <c r="J6" s="1"/>
      <c r="M6" s="7" t="s">
        <v>19</v>
      </c>
      <c r="N6" s="27">
        <v>4933894.5</v>
      </c>
      <c r="R6" s="25" t="s">
        <v>19</v>
      </c>
      <c r="S6" s="25">
        <v>134</v>
      </c>
    </row>
    <row r="7" spans="1:21" x14ac:dyDescent="0.3">
      <c r="C7" s="25" t="s">
        <v>21</v>
      </c>
      <c r="D7" s="25">
        <v>186</v>
      </c>
      <c r="H7" s="25" t="s">
        <v>663</v>
      </c>
      <c r="I7" s="28">
        <v>722450.5</v>
      </c>
      <c r="J7" s="1"/>
      <c r="M7" s="7" t="s">
        <v>14</v>
      </c>
      <c r="N7" s="27">
        <v>3935696.75</v>
      </c>
      <c r="R7" s="25" t="s">
        <v>14</v>
      </c>
      <c r="S7" s="25">
        <v>132</v>
      </c>
    </row>
    <row r="8" spans="1:21" x14ac:dyDescent="0.3">
      <c r="C8" s="25" t="s">
        <v>658</v>
      </c>
      <c r="D8" s="25">
        <v>542</v>
      </c>
      <c r="H8" s="25" t="s">
        <v>664</v>
      </c>
      <c r="I8" s="28">
        <v>671623.5</v>
      </c>
      <c r="J8" s="1"/>
      <c r="M8" s="7" t="s">
        <v>27</v>
      </c>
      <c r="N8" s="27">
        <v>4405329.125</v>
      </c>
      <c r="R8" s="25" t="s">
        <v>27</v>
      </c>
      <c r="S8" s="25">
        <v>143</v>
      </c>
    </row>
    <row r="9" spans="1:21" x14ac:dyDescent="0.3">
      <c r="H9" s="25" t="s">
        <v>665</v>
      </c>
      <c r="I9" s="28">
        <v>654890.5</v>
      </c>
      <c r="J9" s="1"/>
      <c r="M9" s="7" t="s">
        <v>658</v>
      </c>
      <c r="N9" s="27">
        <v>17934579.875</v>
      </c>
      <c r="R9" s="25" t="s">
        <v>658</v>
      </c>
      <c r="S9" s="25">
        <v>542</v>
      </c>
    </row>
    <row r="10" spans="1:21" x14ac:dyDescent="0.3">
      <c r="H10" s="25" t="s">
        <v>666</v>
      </c>
      <c r="I10" s="28">
        <v>1599385.5</v>
      </c>
      <c r="J10" s="1"/>
    </row>
    <row r="11" spans="1:21" x14ac:dyDescent="0.3">
      <c r="H11" s="25" t="s">
        <v>667</v>
      </c>
      <c r="I11" s="28">
        <v>906812.5</v>
      </c>
      <c r="J11" s="1"/>
    </row>
    <row r="12" spans="1:21" x14ac:dyDescent="0.3">
      <c r="H12" s="25" t="s">
        <v>668</v>
      </c>
      <c r="I12" s="28">
        <v>217651</v>
      </c>
      <c r="J12" s="1"/>
    </row>
    <row r="13" spans="1:21" x14ac:dyDescent="0.3">
      <c r="H13" s="25" t="s">
        <v>669</v>
      </c>
      <c r="I13" s="28">
        <v>1774306.625</v>
      </c>
      <c r="J13" s="1"/>
    </row>
    <row r="14" spans="1:21" x14ac:dyDescent="0.3">
      <c r="H14" s="25" t="s">
        <v>670</v>
      </c>
      <c r="I14" s="28">
        <v>1864991</v>
      </c>
      <c r="J14" s="1"/>
    </row>
    <row r="15" spans="1:21" x14ac:dyDescent="0.3">
      <c r="H15" s="25" t="s">
        <v>671</v>
      </c>
      <c r="I15" s="28">
        <v>1117300.5</v>
      </c>
      <c r="J15" s="1"/>
    </row>
    <row r="16" spans="1:21" x14ac:dyDescent="0.3">
      <c r="H16" s="25" t="s">
        <v>672</v>
      </c>
      <c r="I16" s="28">
        <v>771872.5</v>
      </c>
      <c r="J16" s="1"/>
    </row>
    <row r="17" spans="8:10" x14ac:dyDescent="0.3">
      <c r="H17" s="25" t="s">
        <v>673</v>
      </c>
      <c r="I17" s="28">
        <v>640682.75</v>
      </c>
      <c r="J17" s="1"/>
    </row>
    <row r="18" spans="8:10" x14ac:dyDescent="0.3">
      <c r="H18" s="25" t="s">
        <v>660</v>
      </c>
      <c r="I18" s="28">
        <v>6326260</v>
      </c>
    </row>
    <row r="19" spans="8:10" x14ac:dyDescent="0.3">
      <c r="H19" s="25" t="s">
        <v>662</v>
      </c>
      <c r="I19" s="28">
        <v>171466.375</v>
      </c>
    </row>
    <row r="20" spans="8:10" x14ac:dyDescent="0.3">
      <c r="H20" s="25" t="s">
        <v>663</v>
      </c>
      <c r="I20" s="28">
        <v>815556.75</v>
      </c>
    </row>
    <row r="21" spans="8:10" x14ac:dyDescent="0.3">
      <c r="H21" s="25" t="s">
        <v>664</v>
      </c>
      <c r="I21" s="28">
        <v>1251896.5</v>
      </c>
    </row>
    <row r="22" spans="8:10" x14ac:dyDescent="0.3">
      <c r="H22" s="25" t="s">
        <v>665</v>
      </c>
      <c r="I22" s="28">
        <v>2306290</v>
      </c>
    </row>
    <row r="23" spans="8:10" x14ac:dyDescent="0.3">
      <c r="H23" s="25" t="s">
        <v>666</v>
      </c>
      <c r="I23" s="28">
        <v>481188.875</v>
      </c>
    </row>
    <row r="24" spans="8:10" x14ac:dyDescent="0.3">
      <c r="H24" s="25" t="s">
        <v>667</v>
      </c>
      <c r="I24" s="28">
        <v>1299861.5</v>
      </c>
    </row>
    <row r="25" spans="8:10" x14ac:dyDescent="0.3">
      <c r="H25" s="25" t="s">
        <v>658</v>
      </c>
      <c r="I25" s="28">
        <v>17934579.875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Cleaned_Data</vt:lpstr>
      <vt:lpstr>Data_Dictionary</vt:lpstr>
      <vt:lpstr>Cleaning_Log</vt:lpstr>
      <vt:lpstr>Summary_Statistics</vt:lpstr>
      <vt:lpstr>PivotTables_Charts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Retail Sales Analytics Dataset</dc:title>
  <dc:subject>Synthetic dataset for Week 3-4 Data Cleaning and Exploration</dc:subject>
  <dc:creator>OpenAI</dc:creator>
  <cp:lastModifiedBy>Pratik Patil</cp:lastModifiedBy>
  <dcterms:created xsi:type="dcterms:W3CDTF">2026-10-26T18:55:39Z</dcterms:created>
  <dcterms:modified xsi:type="dcterms:W3CDTF">2026-10-28T18:45:16Z</dcterms:modified>
</cp:coreProperties>
</file>